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Projects" sheetId="2" state="visible" r:id="rId4"/>
    <sheet name="02_Belts" sheetId="3" state="visible" r:id="rId5"/>
    <sheet name="03_Training" sheetId="4" state="visible" r:id="rId6"/>
    <sheet name="04_Benefits" sheetId="5" state="visible" r:id="rId7"/>
    <sheet name="05_Ideas" sheetId="6" state="visible" r:id="rId8"/>
    <sheet name="06_Lookups" sheetId="7" state="visible" r:id="rId9"/>
  </sheets>
  <definedNames>
    <definedName function="false" hidden="false" name="BeltLevels" vbProcedure="false">06_Lookups!$Q$7:$Q$11</definedName>
    <definedName function="false" hidden="false" name="CancelReasons" vbProcedure="false">06_Lookups!$S$7:$S$14</definedName>
    <definedName function="false" hidden="false" name="Phases" vbProcedure="false">06_Lookups!$M$7:$M$13</definedName>
    <definedName function="false" hidden="false" name="Pillars" vbProcedure="false">06_Lookups!$I$7:$I$12</definedName>
    <definedName function="false" hidden="false" name="ProjectTypes" vbProcedure="false">06_Lookups!$K$7:$K$11</definedName>
    <definedName function="false" hidden="false" name="Sites" vbProcedure="false">06_Lookups!$B$7:$B$15</definedName>
    <definedName function="false" hidden="false" name="Statuses" vbProcedure="false">06_Lookups!$O$7:$O$12</definedName>
    <definedName function="false" hidden="false" name="YesNo" vbProcedure="false">06_Lookups!$W$7:$W$10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<sst xmlns="http://schemas.openxmlformats.org/spreadsheetml/2006/main" count="765" uniqueCount="494">
  <si>
    <t xml:space="preserve">CI CARIBBEAN</t>
  </si>
  <si>
    <t xml:space="preserve">Lean Six Sigma Project Tracker</t>
  </si>
  <si>
    <t xml:space="preserve">Continuous Improvement Program | Caribbean Region</t>
  </si>
  <si>
    <t xml:space="preserve">Version</t>
  </si>
  <si>
    <t xml:space="preserve">2.0</t>
  </si>
  <si>
    <t xml:space="preserve">Date</t>
  </si>
  <si>
    <t xml:space="preserve">2026-05-11</t>
  </si>
  <si>
    <t xml:space="preserve">Owner</t>
  </si>
  <si>
    <t xml:space="preserve">CI Caribbean — Regional Continuous Improvement</t>
  </si>
  <si>
    <t xml:space="preserve">Scope</t>
  </si>
  <si>
    <t xml:space="preserve">9 operations: PR, HT, RD, SXM, STT, ATG, DMA, SR, GF | 325 employees</t>
  </si>
  <si>
    <t xml:space="preserve">Currency</t>
  </si>
  <si>
    <t xml:space="preserve">USD (all financial figures consolidated)</t>
  </si>
  <si>
    <t xml:space="preserve">WORKBOOK CONTENTS</t>
  </si>
  <si>
    <t xml:space="preserve">Sheet</t>
  </si>
  <si>
    <t xml:space="preserve">Purpose</t>
  </si>
  <si>
    <t xml:space="preserve">00_README</t>
  </si>
  <si>
    <t xml:space="preserve">This page — overview, instructions, version log</t>
  </si>
  <si>
    <t xml:space="preserve">01_Projects</t>
  </si>
  <si>
    <t xml:space="preserve">Master project register: 6 Cohort-1 GB projects + 5 ongoing Black Belt projects (cross-site).</t>
  </si>
  <si>
    <t xml:space="preserve">02_Belts</t>
  </si>
  <si>
    <t xml:space="preserve">Registry of trained personnel (Yellow / Green / Black / MBB). Auto-counts projects.</t>
  </si>
  <si>
    <t xml:space="preserve">03_Training</t>
  </si>
  <si>
    <t xml:space="preserve">Training session log. Each row = one cohort or wave.</t>
  </si>
  <si>
    <t xml:space="preserve">04_Benefits</t>
  </si>
  <si>
    <t xml:space="preserve">Monthly realized savings by project. Feeds Finance validation.</t>
  </si>
  <si>
    <t xml:space="preserve">05_Ideas</t>
  </si>
  <si>
    <t xml:space="preserve">Ideas hopper. Where every employee suggestion lives before becoming a project.</t>
  </si>
  <si>
    <t xml:space="preserve">06_Lookups</t>
  </si>
  <si>
    <t xml:space="preserve">Dropdown source values. Edit here to update all dropdowns regionally.</t>
  </si>
  <si>
    <t xml:space="preserve">HOW TO USE</t>
  </si>
  <si>
    <t xml:space="preserve">1. Each project owner updates 01_Projects weekly: KPI Current, % Complete, Phase, Status.</t>
  </si>
  <si>
    <t xml:space="preserve">2. When training is delivered, log the session in 03_Training and add each trainee to 02_Belts.</t>
  </si>
  <si>
    <t xml:space="preserve">3. As savings are realized, add monthly rows to 04_Benefits with Finance validation.</t>
  </si>
  <si>
    <t xml:space="preserve">4. Any employee idea goes to 05_Ideas and is reviewed by CI Council monthly.</t>
  </si>
  <si>
    <t xml:space="preserve">5. Site dropdowns, pillars, statuses, and currencies are configured in 06_Lookups.</t>
  </si>
  <si>
    <t xml:space="preserve">6. File is the single source for the Power BI dashboard — refreshed daily at 05:00 AST.</t>
  </si>
  <si>
    <t xml:space="preserve">STATUS COLOR LEGEND</t>
  </si>
  <si>
    <t xml:space="preserve">Green</t>
  </si>
  <si>
    <t xml:space="preserve">On track — KPI achievement &gt;70% or closed with benefits</t>
  </si>
  <si>
    <t xml:space="preserve">Amber</t>
  </si>
  <si>
    <t xml:space="preserve">At risk — slight schedule slip or moderate KPI progress</t>
  </si>
  <si>
    <t xml:space="preserve">Red</t>
  </si>
  <si>
    <t xml:space="preserve">Off track — overdue or KPI &lt;40%</t>
  </si>
  <si>
    <t xml:space="preserve">Grey</t>
  </si>
  <si>
    <t xml:space="preserve">Cancelled or On-Hold</t>
  </si>
  <si>
    <t xml:space="preserve">Formula</t>
  </si>
  <si>
    <t xml:space="preserve">Formula cell — calculated automatically. Do NOT type into these cells; their values update when you change inputs.</t>
  </si>
  <si>
    <t xml:space="preserve">WHAT'S NEW IN v2.0</t>
  </si>
  <si>
    <t xml:space="preserve">• Added 5 Black Belt projects across PR, RD, SR, and cross-Caribbean.  • Registered 3 Black Belts.  • Formula cells now highlighted in teal.  • Cycle Time formula updated to show elapsed days for active projects.</t>
  </si>
  <si>
    <t xml:space="preserve">ARGOS © Copyright 2026</t>
  </si>
  <si>
    <t xml:space="preserve">PROJECT REGISTER</t>
  </si>
  <si>
    <t xml:space="preserve">Master tracker of all CI projects across 9 Caribbean operations.</t>
  </si>
  <si>
    <t xml:space="preserve">Project_ID</t>
  </si>
  <si>
    <t xml:space="preserve">Project_Name</t>
  </si>
  <si>
    <t xml:space="preserve">Site</t>
  </si>
  <si>
    <t xml:space="preserve">Department</t>
  </si>
  <si>
    <t xml:space="preserve">Strategic_Pillar</t>
  </si>
  <si>
    <t xml:space="preserve">Project_Type</t>
  </si>
  <si>
    <t xml:space="preserve">Problem_Statement</t>
  </si>
  <si>
    <t xml:space="preserve">Goal_Statement</t>
  </si>
  <si>
    <t xml:space="preserve">KPI_Name</t>
  </si>
  <si>
    <t xml:space="preserve">KPI_Unit</t>
  </si>
  <si>
    <t xml:space="preserve">KPI_Baseline</t>
  </si>
  <si>
    <t xml:space="preserve">KPI_Target</t>
  </si>
  <si>
    <t xml:space="preserve">KPI_Current</t>
  </si>
  <si>
    <t xml:space="preserve">% KPI Achieved</t>
  </si>
  <si>
    <t xml:space="preserve">DMAIC_Phase</t>
  </si>
  <si>
    <t xml:space="preserve">Status</t>
  </si>
  <si>
    <t xml:space="preserve">% Complete</t>
  </si>
  <si>
    <t xml:space="preserve">Belt_Owner</t>
  </si>
  <si>
    <t xml:space="preserve">Belt_Level</t>
  </si>
  <si>
    <t xml:space="preserve">Sponsor</t>
  </si>
  <si>
    <t xml:space="preserve">Champion</t>
  </si>
  <si>
    <t xml:space="preserve">Start_Date</t>
  </si>
  <si>
    <t xml:space="preserve">Planned_Close_Date</t>
  </si>
  <si>
    <t xml:space="preserve">Actual_Close_Date</t>
  </si>
  <si>
    <t xml:space="preserve">Cycle_Time_Days</t>
  </si>
  <si>
    <t xml:space="preserve">Hard_Savings_USD</t>
  </si>
  <si>
    <t xml:space="preserve">Cost_Avoidance_USD</t>
  </si>
  <si>
    <t xml:space="preserve">Total_Benefits_USD</t>
  </si>
  <si>
    <t xml:space="preserve">Finance_Validated</t>
  </si>
  <si>
    <t xml:space="preserve">Cancellation_Reason</t>
  </si>
  <si>
    <t xml:space="preserve">Risks_Issues</t>
  </si>
  <si>
    <t xml:space="preserve">Lessons_Learned</t>
  </si>
  <si>
    <t xml:space="preserve">Last_Updated</t>
  </si>
  <si>
    <t xml:space="preserve">CI-PR-2026-001</t>
  </si>
  <si>
    <t xml:space="preserve">Reduce Kiln 2 Specific Heat Consumption</t>
  </si>
  <si>
    <t xml:space="preserve">PR</t>
  </si>
  <si>
    <t xml:space="preserve">Production – Kiln</t>
  </si>
  <si>
    <t xml:space="preserve">Cost</t>
  </si>
  <si>
    <t xml:space="preserve">DMAIC Green Belt</t>
  </si>
  <si>
    <t xml:space="preserve">Kiln 2 SHC is 3,850 MJ/t vs benchmark 3,650 MJ/t — annualized gap ~$420K at current fuel cost.</t>
  </si>
  <si>
    <t xml:space="preserve">Reduce Kiln 2 SHC from 3,850 to 3,700 MJ/t by 31-Mar-2026 (gain ≥$185K annualized).</t>
  </si>
  <si>
    <t xml:space="preserve">Specific Heat Consumption</t>
  </si>
  <si>
    <t xml:space="preserve">MJ/t clinker</t>
  </si>
  <si>
    <t xml:space="preserve">Closed</t>
  </si>
  <si>
    <t xml:space="preserve">Closed-Benefits</t>
  </si>
  <si>
    <t xml:space="preserve">María González</t>
  </si>
  <si>
    <t xml:space="preserve">Green Belt</t>
  </si>
  <si>
    <t xml:space="preserve">José Rodríguez</t>
  </si>
  <si>
    <t xml:space="preserve">Plant Manager PR</t>
  </si>
  <si>
    <t xml:space="preserve">Yes</t>
  </si>
  <si>
    <t xml:space="preserve">False air &gt;12% was the root cause. Calibrated burner secondary air. Control plan: weekly false-air audit. Replicable to Kiln 1.</t>
  </si>
  <si>
    <t xml:space="preserve">CI-RD-2026-002</t>
  </si>
  <si>
    <t xml:space="preserve">Optimize Cement Mill 1 Throughput</t>
  </si>
  <si>
    <t xml:space="preserve">RD</t>
  </si>
  <si>
    <t xml:space="preserve">Production – Grinding</t>
  </si>
  <si>
    <t xml:space="preserve">Cement Mill 1 throughput is 95 t/h vs design 110 t/h. Bottleneck for OPC production. Gap ~$280K/yr.</t>
  </si>
  <si>
    <t xml:space="preserve">Increase Mill 1 throughput from 95 to 105 t/h by 31-Aug-2026 (≥$150K annualized).</t>
  </si>
  <si>
    <t xml:space="preserve">Mill Throughput</t>
  </si>
  <si>
    <t xml:space="preserve">t/h</t>
  </si>
  <si>
    <t xml:space="preserve">Improve</t>
  </si>
  <si>
    <t xml:space="preserve">Active</t>
  </si>
  <si>
    <t xml:space="preserve">Rafael Núñez</t>
  </si>
  <si>
    <t xml:space="preserve">Luisa Thomas</t>
  </si>
  <si>
    <t xml:space="preserve">Plant Manager RD</t>
  </si>
  <si>
    <t xml:space="preserve">Pending</t>
  </si>
  <si>
    <t xml:space="preserve">Grinding aid dosing system may need replacement (capex pending).</t>
  </si>
  <si>
    <t xml:space="preserve">CI-PR-2026-003</t>
  </si>
  <si>
    <t xml:space="preserve">Reduce Truck Loading Cycle Time at PR Terminal</t>
  </si>
  <si>
    <t xml:space="preserve">Logistics</t>
  </si>
  <si>
    <t xml:space="preserve">Delivery</t>
  </si>
  <si>
    <t xml:space="preserve">Average truck loading cycle is 38 min vs target 25 min, causing customer delays and overtime.</t>
  </si>
  <si>
    <t xml:space="preserve">Reduce truck loading cycle from 38 to 28 min by 30-Sep-2026 (≥$95K/yr in OT and capacity).</t>
  </si>
  <si>
    <t xml:space="preserve">Avg Truck Loading Cycle Time</t>
  </si>
  <si>
    <t xml:space="preserve">minutes</t>
  </si>
  <si>
    <t xml:space="preserve">Analyze</t>
  </si>
  <si>
    <t xml:space="preserve">Sarah Williams</t>
  </si>
  <si>
    <t xml:space="preserve">Andrés Pierre</t>
  </si>
  <si>
    <t xml:space="preserve">Logistics Director Caribbean</t>
  </si>
  <si>
    <t xml:space="preserve">Driver shortage may slow data collection.</t>
  </si>
  <si>
    <t xml:space="preserve">CI-HT-2026-004</t>
  </si>
  <si>
    <t xml:space="preserve">Reduce Packaging Defects (Torn Bags) at HT</t>
  </si>
  <si>
    <t xml:space="preserve">HT</t>
  </si>
  <si>
    <t xml:space="preserve">Packaging</t>
  </si>
  <si>
    <t xml:space="preserve">Quality</t>
  </si>
  <si>
    <t xml:space="preserve">Torn bag rate 2.8% vs target 1.0%. Returns cost ~$120K/yr plus reputational impact.</t>
  </si>
  <si>
    <t xml:space="preserve">Reduce torn bag rate from 2.8% to 1.2% by 30-Jun-2026.</t>
  </si>
  <si>
    <t xml:space="preserve">Torn Bag Rate</t>
  </si>
  <si>
    <t xml:space="preserve">%</t>
  </si>
  <si>
    <t xml:space="preserve">Define</t>
  </si>
  <si>
    <t xml:space="preserve">Cancelled</t>
  </si>
  <si>
    <t xml:space="preserve">Jean-Baptiste Pierre</t>
  </si>
  <si>
    <t xml:space="preserve">Plant Manager HT</t>
  </si>
  <si>
    <t xml:space="preserve">Quality Director Caribbean</t>
  </si>
  <si>
    <t xml:space="preserve">N/A</t>
  </si>
  <si>
    <t xml:space="preserve">Scope too broad</t>
  </si>
  <si>
    <t xml:space="preserve">Scope spanned 3 distinct failure modes. Recharter as 3 separate Kaizen events.</t>
  </si>
  <si>
    <t xml:space="preserve">CI-SR-2026-005</t>
  </si>
  <si>
    <t xml:space="preserve">Reduce Unplanned Stops on Raw Mill SR</t>
  </si>
  <si>
    <t xml:space="preserve">SR</t>
  </si>
  <si>
    <t xml:space="preserve">Maintenance</t>
  </si>
  <si>
    <t xml:space="preserve">Raw mill unplanned stops avg 14 hrs/month vs target 4 hrs. Lost production ~$310K/yr.</t>
  </si>
  <si>
    <t xml:space="preserve">Reduce raw mill unplanned stops from 14 to 6 hrs/month by 30-Jun-2026.</t>
  </si>
  <si>
    <t xml:space="preserve">Unplanned Stops</t>
  </si>
  <si>
    <t xml:space="preserve">hrs/month</t>
  </si>
  <si>
    <t xml:space="preserve">Measure</t>
  </si>
  <si>
    <t xml:space="preserve">Akira Tanaka</t>
  </si>
  <si>
    <t xml:space="preserve">Plant Manager SR</t>
  </si>
  <si>
    <t xml:space="preserve">Maintenance Director Caribbean</t>
  </si>
  <si>
    <t xml:space="preserve">Sponsor disengaged</t>
  </si>
  <si>
    <t xml:space="preserve">No reliable downtime data system; needs IoT/CMMS investment before re-attempt.</t>
  </si>
  <si>
    <t xml:space="preserve">CI-ATG-2026-006</t>
  </si>
  <si>
    <t xml:space="preserve">Improve Spare Parts Inventory Turnover ATG</t>
  </si>
  <si>
    <t xml:space="preserve">ATG</t>
  </si>
  <si>
    <t xml:space="preserve">Supply Chain</t>
  </si>
  <si>
    <t xml:space="preserve">Inventory turnover at 1.2 vs benchmark 3.0. Tied-up capital ~$1.4M.</t>
  </si>
  <si>
    <t xml:space="preserve">Improve turnover from 1.2 to 2.0 by 31-Aug-2026 (free ~$400K working capital).</t>
  </si>
  <si>
    <t xml:space="preserve">Inventory Turnover</t>
  </si>
  <si>
    <t xml:space="preserve">turns/yr</t>
  </si>
  <si>
    <t xml:space="preserve">Marcus Brown</t>
  </si>
  <si>
    <t xml:space="preserve">Supply Chain Director</t>
  </si>
  <si>
    <t xml:space="preserve">Plant Manager ATG</t>
  </si>
  <si>
    <t xml:space="preserve">Solution already known (should be Just-Do-It)</t>
  </si>
  <si>
    <t xml:space="preserve">Was really a "review and obsolete-flag" task, not a DMAIC. Re-launched as Just-Do-It under Supply Chain.</t>
  </si>
  <si>
    <t xml:space="preserve">CI-PR-2026-007</t>
  </si>
  <si>
    <t xml:space="preserve">Increase Thermal Substitution Rate (TSR) — PR Plant</t>
  </si>
  <si>
    <t xml:space="preserve">Environment</t>
  </si>
  <si>
    <t xml:space="preserve">DMAIC Black Belt</t>
  </si>
  <si>
    <t xml:space="preserve">PR plant TSR is 12% vs Caribbean target 25% and global best 60%+. Annualized fuel cost gap ~$1.2M plus CO2 reduction opportunity.</t>
  </si>
  <si>
    <t xml:space="preserve">Increase PR plant TSR from 12% to 22% by 31-Dec-2026 (≥$650K annualized fuel savings + ~28kt CO2 avoided).</t>
  </si>
  <si>
    <t xml:space="preserve">Thermal Substitution Rate</t>
  </si>
  <si>
    <t xml:space="preserve">Carolina Restrepo</t>
  </si>
  <si>
    <t xml:space="preserve">Black Belt</t>
  </si>
  <si>
    <t xml:space="preserve">Regional Operations Director</t>
  </si>
  <si>
    <t xml:space="preserve">Regulatory approval pending for new fuel mix; alt-fuel supplier qualification in progress.</t>
  </si>
  <si>
    <t xml:space="preserve">CI-RD-2026-008</t>
  </si>
  <si>
    <t xml:space="preserve">Clinker Factor Reduction — RD Plant</t>
  </si>
  <si>
    <t xml:space="preserve">Production – Process</t>
  </si>
  <si>
    <t xml:space="preserve">Clinker factor at 0.78 vs benchmark 0.68. Each 1% reduction ≈ $200K/yr and ~40kt CO2.</t>
  </si>
  <si>
    <t xml:space="preserve">Reduce clinker factor from 0.78 to 0.72 by 30-Nov-2026 (≥$580K annualized + carbon credit eligibility).</t>
  </si>
  <si>
    <t xml:space="preserve">Clinker Factor</t>
  </si>
  <si>
    <t xml:space="preserve">ratio</t>
  </si>
  <si>
    <t xml:space="preserve">Patricia Mendoza</t>
  </si>
  <si>
    <t xml:space="preserve">Regional Quality Director</t>
  </si>
  <si>
    <t xml:space="preserve">SCM (pozzolan) supplier qualification ongoing; cement standard variations across export markets.</t>
  </si>
  <si>
    <t xml:space="preserve">CI-CAR-2026-009</t>
  </si>
  <si>
    <t xml:space="preserve">Marine Logistics Optimization — Cross-Caribbean</t>
  </si>
  <si>
    <t xml:space="preserve">Regional Logistics</t>
  </si>
  <si>
    <t xml:space="preserve">Vessel charter cost up 18% YoY; avg port turnaround 32 hrs vs 22 hr benchmark; demurrage exposure $480K/yr. Spans PR, STT, ATG, DMA, SXM.</t>
  </si>
  <si>
    <t xml:space="preserve">Reduce inter-island shipping cost per ton by 12% by 31-Mar-2027 (≥$1.1M annualized across 5 sites).</t>
  </si>
  <si>
    <t xml:space="preserve">Shipping Cost per Ton</t>
  </si>
  <si>
    <t xml:space="preserve">USD/t</t>
  </si>
  <si>
    <t xml:space="preserve">Diana Rojas</t>
  </si>
  <si>
    <t xml:space="preserve">VP Caribbean Logistics</t>
  </si>
  <si>
    <t xml:space="preserve">Hurricane season Jun-Nov may distort data; multi-site governance complexity.</t>
  </si>
  <si>
    <t xml:space="preserve">CI-SR-2026-010</t>
  </si>
  <si>
    <t xml:space="preserve">Predictive Maintenance Deployment — Critical Equipment</t>
  </si>
  <si>
    <t xml:space="preserve">Reactive maintenance ratio 48% vs target &lt;30%. Avg unplanned downtime cost $180K/incident. Pilot at SR, scalable across region.</t>
  </si>
  <si>
    <t xml:space="preserve">Reduce reactive maintenance ratio from 48% to 32% by 31-Dec-2026 at SR (≥$420K annualized + replicable playbook for 8 other sites).</t>
  </si>
  <si>
    <t xml:space="preserve">Reactive Maintenance Ratio</t>
  </si>
  <si>
    <t xml:space="preserve">IoT sensor installation requires shutdown windows; CMMS data quality issues persist.</t>
  </si>
  <si>
    <t xml:space="preserve">CI-RD-2026-011</t>
  </si>
  <si>
    <t xml:space="preserve">Cement Quality Variability Reduction — Cross-Site</t>
  </si>
  <si>
    <t xml:space="preserve">28d compressive strength σ=2.8 MPa vs target 1.5 MPa. Customer complaints up 22% YoY across PR, RD, HT, GF.</t>
  </si>
  <si>
    <t xml:space="preserve">Reduce 28d compressive strength σ from 2.8 to 1.8 MPa across 4 sites by 30-Jun-2027.</t>
  </si>
  <si>
    <t xml:space="preserve">Compressive Strength σ (28d)</t>
  </si>
  <si>
    <t xml:space="preserve">MPa</t>
  </si>
  <si>
    <t xml:space="preserve">VP Caribbean Quality</t>
  </si>
  <si>
    <t xml:space="preserve">Standardization of lab test methods needed first; multi-country lab coordination.</t>
  </si>
  <si>
    <t xml:space="preserve">BELT REGISTRY</t>
  </si>
  <si>
    <t xml:space="preserve">Registry of all personnel trained or certified. Auto-counts their projects.</t>
  </si>
  <si>
    <t xml:space="preserve">Employee_ID</t>
  </si>
  <si>
    <t xml:space="preserve">Full_Name</t>
  </si>
  <si>
    <t xml:space="preserve">Email</t>
  </si>
  <si>
    <t xml:space="preserve">Role</t>
  </si>
  <si>
    <t xml:space="preserve">Training_Date</t>
  </si>
  <si>
    <t xml:space="preserve">Certification_Date</t>
  </si>
  <si>
    <t xml:space="preserve">Cohort_Code</t>
  </si>
  <si>
    <t xml:space="preserve">Active_Projects</t>
  </si>
  <si>
    <t xml:space="preserve">Closed_Benefits_Projects</t>
  </si>
  <si>
    <t xml:space="preserve">Cancelled_Projects</t>
  </si>
  <si>
    <t xml:space="preserve">Total_Savings_Delivered_USD</t>
  </si>
  <si>
    <t xml:space="preserve">Notes</t>
  </si>
  <si>
    <t xml:space="preserve">EMP-PR-0214</t>
  </si>
  <si>
    <t xml:space="preserve">mgonzalez@argos.com.do</t>
  </si>
  <si>
    <t xml:space="preserve">Process Engineer</t>
  </si>
  <si>
    <t xml:space="preserve">GB-C1-2026</t>
  </si>
  <si>
    <t xml:space="preserve">Top performer Cohort 1</t>
  </si>
  <si>
    <t xml:space="preserve">EMP-RD-0118</t>
  </si>
  <si>
    <t xml:space="preserve">rnunez@argos.com.do</t>
  </si>
  <si>
    <t xml:space="preserve">Production Supervisor</t>
  </si>
  <si>
    <t xml:space="preserve">EMP-PR-0331</t>
  </si>
  <si>
    <t xml:space="preserve">swilliams@argos.com</t>
  </si>
  <si>
    <t xml:space="preserve">Logistics Supervisor</t>
  </si>
  <si>
    <t xml:space="preserve">EMP-HT-0089</t>
  </si>
  <si>
    <t xml:space="preserve">jpierre@argos.com.ht</t>
  </si>
  <si>
    <t xml:space="preserve">Packaging Lead</t>
  </si>
  <si>
    <t xml:space="preserve">Project cancelled but completed training</t>
  </si>
  <si>
    <t xml:space="preserve">EMP-SR-0042</t>
  </si>
  <si>
    <t xml:space="preserve">atanaka@argos.com.sr</t>
  </si>
  <si>
    <t xml:space="preserve">Maintenance Engineer</t>
  </si>
  <si>
    <t xml:space="preserve">EMP-ATG-0007</t>
  </si>
  <si>
    <t xml:space="preserve">mbrown@argos.com.ag</t>
  </si>
  <si>
    <t xml:space="preserve">Inventory Analyst</t>
  </si>
  <si>
    <t xml:space="preserve">EMP-CAR-0001</t>
  </si>
  <si>
    <t xml:space="preserve">crestrepo@argos.com.co</t>
  </si>
  <si>
    <t xml:space="preserve">Regional CI</t>
  </si>
  <si>
    <t xml:space="preserve">Regional Black Belt</t>
  </si>
  <si>
    <t xml:space="preserve">BB-Argos-2024</t>
  </si>
  <si>
    <t xml:space="preserve">Leads 2 active BB projects (TSR PR, PdM SR). Internal MBB candidate.</t>
  </si>
  <si>
    <t xml:space="preserve">EMP-RD-0007</t>
  </si>
  <si>
    <t xml:space="preserve">pmendoza@argos.com.do</t>
  </si>
  <si>
    <t xml:space="preserve">Process &amp; Quality</t>
  </si>
  <si>
    <t xml:space="preserve">Leads Clinker Factor RD and Quality cross-site BB projects.</t>
  </si>
  <si>
    <t xml:space="preserve">EMP-PR-0019</t>
  </si>
  <si>
    <t xml:space="preserve">drojas@argos.com</t>
  </si>
  <si>
    <t xml:space="preserve">BB-Argos-2025</t>
  </si>
  <si>
    <t xml:space="preserve">Leads Marine Logistics cross-Caribbean BB project.</t>
  </si>
  <si>
    <t xml:space="preserve">TRAINING LOG</t>
  </si>
  <si>
    <t xml:space="preserve">Record of every training session delivered (Yellow / Green / Black Belt and Kaizen).</t>
  </si>
  <si>
    <t xml:space="preserve">Training_ID</t>
  </si>
  <si>
    <t xml:space="preserve">Date_Start</t>
  </si>
  <si>
    <t xml:space="preserve">Date_End</t>
  </si>
  <si>
    <t xml:space="preserve">Program_Type</t>
  </si>
  <si>
    <t xml:space="preserve">Modality</t>
  </si>
  <si>
    <t xml:space="preserve">Language</t>
  </si>
  <si>
    <t xml:space="preserve">Host_Site</t>
  </si>
  <si>
    <t xml:space="preserve">Instructor</t>
  </si>
  <si>
    <t xml:space="preserve">Instructor_Type</t>
  </si>
  <si>
    <t xml:space="preserve">Delivered_Hours</t>
  </si>
  <si>
    <t xml:space="preserve">Attendees_Planned</t>
  </si>
  <si>
    <t xml:space="preserve">Attendees_Actual</t>
  </si>
  <si>
    <t xml:space="preserve">Attendance_%</t>
  </si>
  <si>
    <t xml:space="preserve">Pass_Rate_%</t>
  </si>
  <si>
    <t xml:space="preserve">Avg_Satisfaction</t>
  </si>
  <si>
    <t xml:space="preserve">Cost_USD</t>
  </si>
  <si>
    <t xml:space="preserve">TR-2026-001</t>
  </si>
  <si>
    <t xml:space="preserve">In-person</t>
  </si>
  <si>
    <t xml:space="preserve">EN/ES</t>
  </si>
  <si>
    <t xml:space="preserve">Carlos Vargas (MBB)</t>
  </si>
  <si>
    <t xml:space="preserve">External</t>
  </si>
  <si>
    <t xml:space="preserve">First Green Belt cohort. 1 closed with benefits, 3 cancelled. Lessons captured for Cohort 2.</t>
  </si>
  <si>
    <t xml:space="preserve">TR-2026-002</t>
  </si>
  <si>
    <t xml:space="preserve">Yellow Belt</t>
  </si>
  <si>
    <t xml:space="preserve">YB-Wave1-2026</t>
  </si>
  <si>
    <t xml:space="preserve">Virtual</t>
  </si>
  <si>
    <t xml:space="preserve">EN/ES/FR</t>
  </si>
  <si>
    <t xml:space="preserve">All sites</t>
  </si>
  <si>
    <t xml:space="preserve">María González (GB)</t>
  </si>
  <si>
    <t xml:space="preserve">Internal</t>
  </si>
  <si>
    <t xml:space="preserve">First Yellow Belt wave post Green Belt graduation.</t>
  </si>
  <si>
    <t xml:space="preserve">TR-2026-003</t>
  </si>
  <si>
    <t xml:space="preserve">YB-Wave2-2026</t>
  </si>
  <si>
    <t xml:space="preserve">EN/FR</t>
  </si>
  <si>
    <t xml:space="preserve">Sarah Williams (GB)</t>
  </si>
  <si>
    <t xml:space="preserve">Second Yellow Belt wave focused on East Caribbean.</t>
  </si>
  <si>
    <t xml:space="preserve">MONTHLY BENEFITS REALIZATION</t>
  </si>
  <si>
    <t xml:space="preserve">One row per project × month × benefit category. Feeds run-rate and Finance validation.</t>
  </si>
  <si>
    <t xml:space="preserve">Benefit_ID</t>
  </si>
  <si>
    <t xml:space="preserve">Month_Year</t>
  </si>
  <si>
    <t xml:space="preserve">Category</t>
  </si>
  <si>
    <t xml:space="preserve">Amount_USD</t>
  </si>
  <si>
    <t xml:space="preserve">Plan_or_Actual</t>
  </si>
  <si>
    <t xml:space="preserve">Validated_By_Finance</t>
  </si>
  <si>
    <t xml:space="preserve">Validation_Date</t>
  </si>
  <si>
    <t xml:space="preserve">Total Validated (Actual)</t>
  </si>
  <si>
    <t xml:space="preserve">BEN-2026-001</t>
  </si>
  <si>
    <t xml:space="preserve">Hard</t>
  </si>
  <si>
    <t xml:space="preserve">Actual</t>
  </si>
  <si>
    <t xml:space="preserve">Kiln 2 SHC reduction — month 1 of 12</t>
  </si>
  <si>
    <t xml:space="preserve">Total Pipeline (Plan)</t>
  </si>
  <si>
    <t xml:space="preserve">BEN-2026-002</t>
  </si>
  <si>
    <t xml:space="preserve">Kiln 2 SHC reduction — month 2 of 12</t>
  </si>
  <si>
    <t xml:space="preserve">Total Annualized Forecast</t>
  </si>
  <si>
    <t xml:space="preserve">BEN-2026-003</t>
  </si>
  <si>
    <t xml:space="preserve">Plan</t>
  </si>
  <si>
    <t xml:space="preserve">Kiln 2 SHC reduction — month 3 of 12</t>
  </si>
  <si>
    <t xml:space="preserve">BEN-2026-004</t>
  </si>
  <si>
    <t xml:space="preserve">Kiln 2 SHC reduction — month 4 of 12</t>
  </si>
  <si>
    <t xml:space="preserve">BEN-2026-005</t>
  </si>
  <si>
    <t xml:space="preserve">Kiln 2 SHC reduction — month 5 of 12</t>
  </si>
  <si>
    <t xml:space="preserve">BEN-2026-006</t>
  </si>
  <si>
    <t xml:space="preserve">Kiln 2 SHC reduction — month 6 of 12</t>
  </si>
  <si>
    <t xml:space="preserve">BEN-2026-007</t>
  </si>
  <si>
    <t xml:space="preserve">Kiln 2 SHC reduction — month 7 of 12</t>
  </si>
  <si>
    <t xml:space="preserve">BEN-2026-008</t>
  </si>
  <si>
    <t xml:space="preserve">Kiln 2 SHC reduction — month 8 of 12</t>
  </si>
  <si>
    <t xml:space="preserve">BEN-2026-009</t>
  </si>
  <si>
    <t xml:space="preserve">Kiln 2 SHC reduction — month 9 of 12</t>
  </si>
  <si>
    <t xml:space="preserve">BEN-2026-010</t>
  </si>
  <si>
    <t xml:space="preserve">Kiln 2 SHC reduction — month 10 of 12</t>
  </si>
  <si>
    <t xml:space="preserve">BEN-2026-011</t>
  </si>
  <si>
    <t xml:space="preserve">Kiln 2 SHC reduction — month 11 of 12</t>
  </si>
  <si>
    <t xml:space="preserve">BEN-2026-012</t>
  </si>
  <si>
    <t xml:space="preserve">Kiln 2 SHC reduction — month 12 of 12</t>
  </si>
  <si>
    <t xml:space="preserve">IDEAS HOPPER</t>
  </si>
  <si>
    <t xml:space="preserve">All employee suggestions and improvement ideas. Reviewed monthly by CI Council.</t>
  </si>
  <si>
    <t xml:space="preserve">Idea_ID</t>
  </si>
  <si>
    <t xml:space="preserve">Date_Submitted</t>
  </si>
  <si>
    <t xml:space="preserve">Submitter</t>
  </si>
  <si>
    <t xml:space="preserve">Title</t>
  </si>
  <si>
    <t xml:space="preserve">Description</t>
  </si>
  <si>
    <t xml:space="preserve">Estimated_Impact_USD</t>
  </si>
  <si>
    <t xml:space="preserve">Impact_Score</t>
  </si>
  <si>
    <t xml:space="preserve">Effort_Level</t>
  </si>
  <si>
    <t xml:space="preserve">Priority_Score</t>
  </si>
  <si>
    <t xml:space="preserve">Quadrant</t>
  </si>
  <si>
    <t xml:space="preserve">Decision_Date</t>
  </si>
  <si>
    <t xml:space="preserve">Linked_Project_ID</t>
  </si>
  <si>
    <t xml:space="preserve">IDEA-2026-001</t>
  </si>
  <si>
    <t xml:space="preserve">L. Domínguez</t>
  </si>
  <si>
    <t xml:space="preserve">LED retrofit in warehouse</t>
  </si>
  <si>
    <t xml:space="preserve">Replace HID lights in clinker warehouse with LED. Estimated $35K/yr energy savings.</t>
  </si>
  <si>
    <t xml:space="preserve">Low</t>
  </si>
  <si>
    <t xml:space="preserve">Quick Win</t>
  </si>
  <si>
    <t xml:space="preserve">Approved</t>
  </si>
  <si>
    <t xml:space="preserve">Converted to Just-Do-It under Maintenance.</t>
  </si>
  <si>
    <t xml:space="preserve">IDEA-2026-002</t>
  </si>
  <si>
    <t xml:space="preserve">F. Joseph</t>
  </si>
  <si>
    <t xml:space="preserve">Reduce conveyor belt wear at HT</t>
  </si>
  <si>
    <t xml:space="preserve">Belt life is 6 months vs OEM 18 months. Suspect misalignment + dust ingress.</t>
  </si>
  <si>
    <t xml:space="preserve">Med</t>
  </si>
  <si>
    <t xml:space="preserve">Major Project</t>
  </si>
  <si>
    <t xml:space="preserve">Under Review</t>
  </si>
  <si>
    <t xml:space="preserve">Candidate for Green Belt Cohort 2.</t>
  </si>
  <si>
    <t xml:space="preserve">IDEA-2026-003</t>
  </si>
  <si>
    <t xml:space="preserve">K. Duarte</t>
  </si>
  <si>
    <t xml:space="preserve">Standardize PPE inspection on shift change</t>
  </si>
  <si>
    <t xml:space="preserve">Reduce near-misses related to gloves and respirator fit.</t>
  </si>
  <si>
    <t xml:space="preserve">Safety</t>
  </si>
  <si>
    <t xml:space="preserve">Fill-in</t>
  </si>
  <si>
    <t xml:space="preserve">Implemented as one-point lesson.</t>
  </si>
  <si>
    <t xml:space="preserve">IDEA-2026-004</t>
  </si>
  <si>
    <t xml:space="preserve">R. Sánchez</t>
  </si>
  <si>
    <t xml:space="preserve">Alternative fuel: tire chips co-processing</t>
  </si>
  <si>
    <t xml:space="preserve">Pilot 5% TSR using locally-sourced tire chips. Est savings $250K/yr if scaled.</t>
  </si>
  <si>
    <t xml:space="preserve">High</t>
  </si>
  <si>
    <t xml:space="preserve">Needs regulatory check + capex for feed system.</t>
  </si>
  <si>
    <t xml:space="preserve">IDEA-2026-005</t>
  </si>
  <si>
    <t xml:space="preserve">A. Pierre</t>
  </si>
  <si>
    <t xml:space="preserve">GF</t>
  </si>
  <si>
    <t xml:space="preserve">Digital truck dispatch QR codes</t>
  </si>
  <si>
    <t xml:space="preserve">Replace paper manifests with QR. Speeds loading, reduces errors.</t>
  </si>
  <si>
    <t xml:space="preserve">IT scoping pilot for GF and SR.</t>
  </si>
  <si>
    <t xml:space="preserve">IDEA-2026-006</t>
  </si>
  <si>
    <t xml:space="preserve">M. Allen</t>
  </si>
  <si>
    <t xml:space="preserve">STT</t>
  </si>
  <si>
    <t xml:space="preserve">Improve marine vessel turnaround at STT terminal</t>
  </si>
  <si>
    <t xml:space="preserve">Avg vessel turnaround 36 hrs vs target 24. Demurrage exposure ~$120K/yr.</t>
  </si>
  <si>
    <t xml:space="preserve">New</t>
  </si>
  <si>
    <t xml:space="preserve">Pending CI Council review April.</t>
  </si>
  <si>
    <t xml:space="preserve">IDEA-2026-007</t>
  </si>
  <si>
    <t xml:space="preserve">J. López</t>
  </si>
  <si>
    <t xml:space="preserve">Reduce dust emissions raw mill stack</t>
  </si>
  <si>
    <t xml:space="preserve">Stack opacity reading drifts above limit during startup.</t>
  </si>
  <si>
    <t xml:space="preserve">Thankless</t>
  </si>
  <si>
    <t xml:space="preserve">Regulatory priority — environmental.</t>
  </si>
  <si>
    <t xml:space="preserve">IDEA-2026-008</t>
  </si>
  <si>
    <t xml:space="preserve">D. Charles</t>
  </si>
  <si>
    <t xml:space="preserve">DMA</t>
  </si>
  <si>
    <t xml:space="preserve">Bag silo level sensors</t>
  </si>
  <si>
    <t xml:space="preserve">3 unplanned overflows in Q1. Install ultrasonic level sensors.</t>
  </si>
  <si>
    <t xml:space="preserve">Approved capex.</t>
  </si>
  <si>
    <t xml:space="preserve">IDEA-2026-009</t>
  </si>
  <si>
    <t xml:space="preserve">I. Hassan</t>
  </si>
  <si>
    <t xml:space="preserve">CMMS data quality cleanup</t>
  </si>
  <si>
    <t xml:space="preserve">Work order data is poor; foundation for predictive maintenance project.</t>
  </si>
  <si>
    <t xml:space="preserve">Pre-requisite for SR maintenance Green Belt re-attempt.</t>
  </si>
  <si>
    <t xml:space="preserve">IDEA-2026-010</t>
  </si>
  <si>
    <t xml:space="preserve">P. Singh</t>
  </si>
  <si>
    <t xml:space="preserve">SXM</t>
  </si>
  <si>
    <t xml:space="preserve">Pre-blend silo homogenization</t>
  </si>
  <si>
    <t xml:space="preserve">LSF variability ±15 vs target ±5. Affects clinker quality.</t>
  </si>
  <si>
    <t xml:space="preserve">Candidate Green Belt Cohort 2 or Black Belt.</t>
  </si>
  <si>
    <t xml:space="preserve">Lookups &amp; Dropdown Sources</t>
  </si>
  <si>
    <t xml:space="preserve">Edit values here to update dropdowns across all sheets.</t>
  </si>
  <si>
    <t xml:space="preserve">SITES</t>
  </si>
  <si>
    <t xml:space="preserve">STRATEGIC PILLARS</t>
  </si>
  <si>
    <t xml:space="preserve">PROJECT TYPES</t>
  </si>
  <si>
    <t xml:space="preserve">DMAIC PHASES</t>
  </si>
  <si>
    <t xml:space="preserve">PROJECT STATUS</t>
  </si>
  <si>
    <t xml:space="preserve">BELT LEVELS</t>
  </si>
  <si>
    <t xml:space="preserve">CANCELLATION REASONS</t>
  </si>
  <si>
    <t xml:space="preserve">YES/NO</t>
  </si>
  <si>
    <t xml:space="preserve">Site_Code</t>
  </si>
  <si>
    <t xml:space="preserve">Country</t>
  </si>
  <si>
    <t xml:space="preserve">Region</t>
  </si>
  <si>
    <t xml:space="preserve">Timezone</t>
  </si>
  <si>
    <t xml:space="preserve">Pillar</t>
  </si>
  <si>
    <t xml:space="preserve">Type</t>
  </si>
  <si>
    <t xml:space="preserve">Phase</t>
  </si>
  <si>
    <t xml:space="preserve">Reason</t>
  </si>
  <si>
    <t xml:space="preserve">Value</t>
  </si>
  <si>
    <t xml:space="preserve">Puerto Rico</t>
  </si>
  <si>
    <t xml:space="preserve">Caribbean North</t>
  </si>
  <si>
    <t xml:space="preserve">USD</t>
  </si>
  <si>
    <t xml:space="preserve">America/Puerto_Rico</t>
  </si>
  <si>
    <t xml:space="preserve">Proposed</t>
  </si>
  <si>
    <t xml:space="preserve">White Belt</t>
  </si>
  <si>
    <t xml:space="preserve">Haiti</t>
  </si>
  <si>
    <t xml:space="preserve">America/Port-au-Prince</t>
  </si>
  <si>
    <t xml:space="preserve">No</t>
  </si>
  <si>
    <t xml:space="preserve">Dominican Republic</t>
  </si>
  <si>
    <t xml:space="preserve">America/Santo_Domingo</t>
  </si>
  <si>
    <t xml:space="preserve">Kaizen Event</t>
  </si>
  <si>
    <t xml:space="preserve">On-Hold</t>
  </si>
  <si>
    <t xml:space="preserve">Resources reassigned</t>
  </si>
  <si>
    <t xml:space="preserve">Sint Maarten</t>
  </si>
  <si>
    <t xml:space="preserve">Caribbean East</t>
  </si>
  <si>
    <t xml:space="preserve">America/Lower_Princes</t>
  </si>
  <si>
    <t xml:space="preserve">Just-Do-It</t>
  </si>
  <si>
    <t xml:space="preserve">Data not available</t>
  </si>
  <si>
    <t xml:space="preserve">St Thomas (USVI)</t>
  </si>
  <si>
    <t xml:space="preserve">America/St_Thomas</t>
  </si>
  <si>
    <t xml:space="preserve">People</t>
  </si>
  <si>
    <t xml:space="preserve">A3</t>
  </si>
  <si>
    <t xml:space="preserve">Control</t>
  </si>
  <si>
    <t xml:space="preserve">Master Black Belt</t>
  </si>
  <si>
    <t xml:space="preserve">Antigua</t>
  </si>
  <si>
    <t xml:space="preserve">America/Antigua</t>
  </si>
  <si>
    <t xml:space="preserve">Closed-NoBenefits</t>
  </si>
  <si>
    <t xml:space="preserve">Strategic priority changed</t>
  </si>
  <si>
    <t xml:space="preserve">Dominica</t>
  </si>
  <si>
    <t xml:space="preserve">America/Dominica</t>
  </si>
  <si>
    <t xml:space="preserve">Capex required not approved</t>
  </si>
  <si>
    <t xml:space="preserve">Suriname</t>
  </si>
  <si>
    <t xml:space="preserve">Caribbean South</t>
  </si>
  <si>
    <t xml:space="preserve">America/Paramaribo</t>
  </si>
  <si>
    <t xml:space="preserve">Belt left the company</t>
  </si>
  <si>
    <t xml:space="preserve">French Guiana</t>
  </si>
  <si>
    <t xml:space="preserve">America/Cayenne</t>
  </si>
  <si>
    <t xml:space="preserve">CONFIG PARAMETERS</t>
  </si>
  <si>
    <t xml:space="preserve">Parameter</t>
  </si>
  <si>
    <t xml:space="preserve">Current_FY</t>
  </si>
  <si>
    <t xml:space="preserve">FY_Start_Date</t>
  </si>
  <si>
    <t xml:space="preserve">Annual_Savings_Target_USD</t>
  </si>
  <si>
    <t xml:space="preserve">Total_Workforce</t>
  </si>
  <si>
    <t xml:space="preserve">Training_Target_Hours_Per_Employee</t>
  </si>
  <si>
    <t xml:space="preserve">RAG_KPI_Green_Threshold</t>
  </si>
  <si>
    <t xml:space="preserve">RAG_KPI_Amber_Threshold</t>
  </si>
  <si>
    <t xml:space="preserve">Schedule_Variance_Amber_Days</t>
  </si>
  <si>
    <t xml:space="preserve">Schedule_Variance_Red_Days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</si>
</sst>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.0%"/>
    <numFmt numFmtId="167" formatCode="dd\-mmm\-yyyy"/>
    <numFmt numFmtId="168" formatCode="General"/>
    <numFmt numFmtId="169" formatCode="\$#,##0;&quot;($&quot;#,##0\);\-"/>
    <numFmt numFmtId="170" formatCode="\$#,##0;&quot;($&quot;#,##0\);\-"/>
    <numFmt numFmtId="171" formatCode="0.0"/>
    <numFmt numFmtId="172" formatCode="mmm\-yyyy"/>
    <numFmt numFmtId="173" formatCode="0.00"/>
    <numFmt numFmtId="174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01B46"/>
      <name val="Calibri"/>
      <family val="0"/>
      <charset val="1"/>
    </font>
    <font>
      <sz val="14"/>
      <color rgb="FF4A5568"/>
      <name val="Calibri"/>
      <family val="0"/>
      <charset val="1"/>
    </font>
    <font>
      <i val="true"/>
      <sz val="11"/>
      <color rgb="FF4A5568"/>
      <name val="Calibri"/>
      <family val="0"/>
      <charset val="1"/>
    </font>
    <font>
      <b val="true"/>
      <sz val="10"/>
      <color rgb="FF101B46"/>
      <name val="Calibri"/>
      <family val="0"/>
      <charset val="1"/>
    </font>
    <font>
      <sz val="10"/>
      <color rgb="FF101B46"/>
      <name val="Calibri"/>
      <family val="0"/>
      <charset val="1"/>
    </font>
    <font>
      <b val="true"/>
      <sz val="12"/>
      <color rgb="FF101B4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101B46"/>
      <name val="Calibri"/>
      <family val="0"/>
      <charset val="1"/>
    </font>
    <font>
      <sz val="8"/>
      <color rgb="FF9AA0B2"/>
      <name val="Calibri"/>
      <family val="0"/>
      <charset val="1"/>
    </font>
    <font>
      <b val="true"/>
      <sz val="20"/>
      <color rgb="FF101B46"/>
      <name val="Calibri"/>
      <family val="0"/>
      <charset val="1"/>
    </font>
    <font>
      <i val="true"/>
      <sz val="10"/>
      <color rgb="FF4A5568"/>
      <name val="Calibri"/>
      <family val="0"/>
      <charset val="1"/>
    </font>
    <font>
      <b val="true"/>
      <sz val="14"/>
      <color rgb="FF101B46"/>
      <name val="Calibri"/>
      <family val="0"/>
      <charset val="1"/>
    </font>
    <font>
      <b val="true"/>
      <sz val="14"/>
      <color rgb="FFC2D5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2D500"/>
        <bgColor rgb="FFF7B500"/>
      </patternFill>
    </fill>
    <fill>
      <patternFill patternType="solid">
        <fgColor rgb="FF101B46"/>
        <bgColor rgb="FF333333"/>
      </patternFill>
    </fill>
    <fill>
      <patternFill patternType="solid">
        <fgColor rgb="FFF5F6F7"/>
        <bgColor rgb="FFFFFFFF"/>
      </patternFill>
    </fill>
    <fill>
      <patternFill patternType="solid">
        <fgColor rgb="FF2E8540"/>
        <bgColor rgb="FF008000"/>
      </patternFill>
    </fill>
    <fill>
      <patternFill patternType="solid">
        <fgColor rgb="FFF7B500"/>
        <bgColor rgb="FFFF9900"/>
      </patternFill>
    </fill>
    <fill>
      <patternFill patternType="solid">
        <fgColor rgb="FFD32F2F"/>
        <bgColor rgb="FF993366"/>
      </patternFill>
    </fill>
    <fill>
      <patternFill patternType="solid">
        <fgColor rgb="FF9AA0B2"/>
        <bgColor rgb="FF9999FF"/>
      </patternFill>
    </fill>
    <fill>
      <patternFill patternType="solid">
        <fgColor rgb="FFDCEFE7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5F6F7"/>
      <rgbColor rgb="FFDCEFE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C2D500"/>
      <rgbColor rgb="FFF7B500"/>
      <rgbColor rgb="FFFF9900"/>
      <rgbColor rgb="FFFF6600"/>
      <rgbColor rgb="FF4A5568"/>
      <rgbColor rgb="FF9AA0B2"/>
      <rgbColor rgb="FF101B46"/>
      <rgbColor rgb="FF2E8540"/>
      <rgbColor rgb="FF003300"/>
      <rgbColor rgb="FF333300"/>
      <rgbColor rgb="FFD32F2F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70"/>
    <col collapsed="false" customWidth="true" hidden="false" outlineLevel="0" max="8" min="4" style="1" width="12"/>
  </cols>
  <sheetData>
    <row r="2" customFormat="false" ht="33.75" hidden="false" customHeight="true" outlineLevel="0" collapsed="false">
      <c r="B2" s="2" t="s">
        <v>0</v>
      </c>
    </row>
    <row r="3" customFormat="false" ht="17.2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5" customFormat="false" ht="3.75" hidden="false" customHeight="true" outlineLevel="0" collapsed="false">
      <c r="B5" s="5"/>
      <c r="C5" s="5"/>
      <c r="D5" s="5"/>
      <c r="E5" s="5"/>
      <c r="F5" s="5"/>
      <c r="G5" s="5"/>
      <c r="H5" s="5"/>
    </row>
    <row r="7" customFormat="false" ht="15" hidden="false" customHeight="true" outlineLevel="0" collapsed="false">
      <c r="B7" s="6" t="s">
        <v>3</v>
      </c>
      <c r="C7" s="7" t="s">
        <v>4</v>
      </c>
    </row>
    <row r="8" customFormat="false" ht="15" hidden="false" customHeight="true" outlineLevel="0" collapsed="false">
      <c r="B8" s="6" t="s">
        <v>5</v>
      </c>
      <c r="C8" s="7" t="s">
        <v>6</v>
      </c>
    </row>
    <row r="9" customFormat="false" ht="15" hidden="false" customHeight="true" outlineLevel="0" collapsed="false">
      <c r="B9" s="6" t="s">
        <v>7</v>
      </c>
      <c r="C9" s="7" t="s">
        <v>8</v>
      </c>
    </row>
    <row r="10" customFormat="false" ht="15" hidden="false" customHeight="true" outlineLevel="0" collapsed="false">
      <c r="B10" s="6" t="s">
        <v>9</v>
      </c>
      <c r="C10" s="7" t="s">
        <v>10</v>
      </c>
    </row>
    <row r="11" customFormat="false" ht="15" hidden="false" customHeight="true" outlineLevel="0" collapsed="false">
      <c r="B11" s="6" t="s">
        <v>11</v>
      </c>
      <c r="C11" s="7" t="s">
        <v>12</v>
      </c>
    </row>
    <row r="13" customFormat="false" ht="15" hidden="false" customHeight="true" outlineLevel="0" collapsed="false">
      <c r="B13" s="8" t="s">
        <v>13</v>
      </c>
    </row>
    <row r="14" customFormat="false" ht="1.5" hidden="false" customHeight="true" outlineLevel="0" collapsed="false">
      <c r="B14" s="9"/>
      <c r="C14" s="9"/>
      <c r="D14" s="9"/>
      <c r="E14" s="9"/>
      <c r="F14" s="9"/>
      <c r="G14" s="9"/>
      <c r="H14" s="9"/>
    </row>
    <row r="15" customFormat="false" ht="15" hidden="false" customHeight="true" outlineLevel="0" collapsed="false">
      <c r="B15" s="10" t="s">
        <v>14</v>
      </c>
      <c r="C15" s="10" t="s">
        <v>15</v>
      </c>
    </row>
    <row r="16" customFormat="false" ht="15" hidden="false" customHeight="true" outlineLevel="0" collapsed="false">
      <c r="B16" s="11" t="s">
        <v>16</v>
      </c>
      <c r="C16" s="12" t="s">
        <v>17</v>
      </c>
    </row>
    <row r="17" customFormat="false" ht="15" hidden="false" customHeight="true" outlineLevel="0" collapsed="false">
      <c r="B17" s="13" t="s">
        <v>18</v>
      </c>
      <c r="C17" s="14" t="s">
        <v>19</v>
      </c>
    </row>
    <row r="18" customFormat="false" ht="15" hidden="false" customHeight="true" outlineLevel="0" collapsed="false">
      <c r="B18" s="11" t="s">
        <v>20</v>
      </c>
      <c r="C18" s="12" t="s">
        <v>21</v>
      </c>
    </row>
    <row r="19" customFormat="false" ht="15" hidden="false" customHeight="true" outlineLevel="0" collapsed="false">
      <c r="B19" s="13" t="s">
        <v>22</v>
      </c>
      <c r="C19" s="14" t="s">
        <v>23</v>
      </c>
    </row>
    <row r="20" customFormat="false" ht="15" hidden="false" customHeight="true" outlineLevel="0" collapsed="false">
      <c r="B20" s="11" t="s">
        <v>24</v>
      </c>
      <c r="C20" s="12" t="s">
        <v>25</v>
      </c>
    </row>
    <row r="21" customFormat="false" ht="15" hidden="false" customHeight="true" outlineLevel="0" collapsed="false">
      <c r="B21" s="13" t="s">
        <v>26</v>
      </c>
      <c r="C21" s="14" t="s">
        <v>27</v>
      </c>
    </row>
    <row r="22" customFormat="false" ht="15" hidden="false" customHeight="true" outlineLevel="0" collapsed="false">
      <c r="B22" s="11" t="s">
        <v>28</v>
      </c>
      <c r="C22" s="12" t="s">
        <v>29</v>
      </c>
    </row>
    <row r="24" customFormat="false" ht="15" hidden="false" customHeight="true" outlineLevel="0" collapsed="false">
      <c r="B24" s="8" t="s">
        <v>30</v>
      </c>
    </row>
    <row r="25" customFormat="false" ht="1.5" hidden="false" customHeight="true" outlineLevel="0" collapsed="false">
      <c r="B25" s="9"/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B26" s="15" t="s">
        <v>31</v>
      </c>
      <c r="C26" s="15"/>
      <c r="D26" s="15"/>
      <c r="E26" s="15"/>
      <c r="F26" s="15"/>
      <c r="G26" s="15"/>
      <c r="H26" s="15"/>
    </row>
    <row r="27" customFormat="false" ht="15" hidden="false" customHeight="true" outlineLevel="0" collapsed="false">
      <c r="B27" s="15" t="s">
        <v>32</v>
      </c>
      <c r="C27" s="15"/>
      <c r="D27" s="15"/>
      <c r="E27" s="15"/>
      <c r="F27" s="15"/>
      <c r="G27" s="15"/>
      <c r="H27" s="15"/>
    </row>
    <row r="28" customFormat="false" ht="15" hidden="false" customHeight="true" outlineLevel="0" collapsed="false">
      <c r="B28" s="15" t="s">
        <v>33</v>
      </c>
      <c r="C28" s="15"/>
      <c r="D28" s="15"/>
      <c r="E28" s="15"/>
      <c r="F28" s="15"/>
      <c r="G28" s="15"/>
      <c r="H28" s="15"/>
    </row>
    <row r="29" customFormat="false" ht="15" hidden="false" customHeight="true" outlineLevel="0" collapsed="false">
      <c r="B29" s="15" t="s">
        <v>34</v>
      </c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B30" s="15" t="s">
        <v>35</v>
      </c>
      <c r="C30" s="15"/>
      <c r="D30" s="15"/>
      <c r="E30" s="15"/>
      <c r="F30" s="15"/>
      <c r="G30" s="15"/>
      <c r="H30" s="15"/>
    </row>
    <row r="31" customFormat="false" ht="15" hidden="false" customHeight="true" outlineLevel="0" collapsed="false">
      <c r="B31" s="15" t="s">
        <v>36</v>
      </c>
      <c r="C31" s="15"/>
      <c r="D31" s="15"/>
      <c r="E31" s="15"/>
      <c r="F31" s="15"/>
      <c r="G31" s="15"/>
      <c r="H31" s="15"/>
    </row>
    <row r="32" customFormat="false" ht="15" hidden="false" customHeight="true" outlineLevel="0" collapsed="false">
      <c r="B32" s="8" t="s">
        <v>37</v>
      </c>
    </row>
    <row r="33" customFormat="false" ht="1.5" hidden="false" customHeight="true" outlineLevel="0" collapsed="false">
      <c r="B33" s="9"/>
      <c r="C33" s="9"/>
      <c r="D33" s="9"/>
      <c r="E33" s="9"/>
      <c r="F33" s="9"/>
      <c r="G33" s="9"/>
      <c r="H33" s="9"/>
    </row>
    <row r="34" customFormat="false" ht="15" hidden="false" customHeight="true" outlineLevel="0" collapsed="false">
      <c r="B34" s="16" t="s">
        <v>38</v>
      </c>
      <c r="C34" s="15" t="s">
        <v>39</v>
      </c>
      <c r="D34" s="15"/>
      <c r="E34" s="15"/>
      <c r="F34" s="15"/>
      <c r="G34" s="15"/>
      <c r="H34" s="15"/>
    </row>
    <row r="35" customFormat="false" ht="15" hidden="false" customHeight="true" outlineLevel="0" collapsed="false">
      <c r="B35" s="17" t="s">
        <v>40</v>
      </c>
      <c r="C35" s="15" t="s">
        <v>41</v>
      </c>
      <c r="D35" s="15"/>
      <c r="E35" s="15"/>
      <c r="F35" s="15"/>
      <c r="G35" s="15"/>
      <c r="H35" s="15"/>
    </row>
    <row r="36" customFormat="false" ht="15" hidden="false" customHeight="true" outlineLevel="0" collapsed="false">
      <c r="B36" s="18" t="s">
        <v>42</v>
      </c>
      <c r="C36" s="15" t="s">
        <v>43</v>
      </c>
      <c r="D36" s="15"/>
      <c r="E36" s="15"/>
      <c r="F36" s="15"/>
      <c r="G36" s="15"/>
      <c r="H36" s="15"/>
    </row>
    <row r="37" customFormat="false" ht="15" hidden="false" customHeight="true" outlineLevel="0" collapsed="false">
      <c r="B37" s="19" t="s">
        <v>44</v>
      </c>
      <c r="C37" s="15" t="s">
        <v>45</v>
      </c>
      <c r="D37" s="15"/>
      <c r="E37" s="15"/>
      <c r="F37" s="15"/>
      <c r="G37" s="15"/>
      <c r="H37" s="15"/>
    </row>
    <row r="38" customFormat="false" ht="15" hidden="false" customHeight="false" outlineLevel="0" collapsed="false">
      <c r="B38" s="20" t="s">
        <v>46</v>
      </c>
      <c r="C38" s="21" t="s">
        <v>47</v>
      </c>
      <c r="D38" s="21"/>
      <c r="E38" s="21"/>
      <c r="F38" s="21"/>
      <c r="G38" s="21"/>
      <c r="H38" s="21"/>
    </row>
    <row r="40" customFormat="false" ht="31.5" hidden="false" customHeight="true" outlineLevel="0" collapsed="false">
      <c r="B40" s="22" t="s">
        <v>48</v>
      </c>
      <c r="C40" s="23" t="s">
        <v>49</v>
      </c>
      <c r="D40" s="23"/>
      <c r="E40" s="23"/>
      <c r="F40" s="23"/>
      <c r="G40" s="23"/>
      <c r="H40" s="23"/>
    </row>
    <row r="42" customFormat="false" ht="15" hidden="false" customHeight="false" outlineLevel="0" collapsed="false">
      <c r="B42" s="24" t="s">
        <v>50</v>
      </c>
    </row>
  </sheetData>
  <mergeCells count="12">
    <mergeCell ref="B26:H26"/>
    <mergeCell ref="B27:H27"/>
    <mergeCell ref="B28:H28"/>
    <mergeCell ref="B29:H29"/>
    <mergeCell ref="B30:H30"/>
    <mergeCell ref="B31:H31"/>
    <mergeCell ref="C34:H34"/>
    <mergeCell ref="C35:H35"/>
    <mergeCell ref="C36:H36"/>
    <mergeCell ref="C37:H37"/>
    <mergeCell ref="C38:H38"/>
    <mergeCell ref="C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8" min="7" style="1" width="50"/>
    <col collapsed="false" customWidth="true" hidden="false" outlineLevel="0" max="9" min="9" style="1" width="24"/>
    <col collapsed="false" customWidth="true" hidden="false" outlineLevel="0" max="10" min="10" style="1" width="14"/>
    <col collapsed="false" customWidth="true" hidden="false" outlineLevel="0" max="15" min="11" style="1" width="12"/>
    <col collapsed="false" customWidth="true" hidden="false" outlineLevel="0" max="16" min="16" style="1" width="18"/>
    <col collapsed="false" customWidth="true" hidden="false" outlineLevel="0" max="17" min="17" style="1" width="12"/>
    <col collapsed="false" customWidth="true" hidden="false" outlineLevel="0" max="18" min="18" style="1" width="22"/>
    <col collapsed="false" customWidth="true" hidden="false" outlineLevel="0" max="19" min="19" style="1" width="14"/>
    <col collapsed="false" customWidth="true" hidden="false" outlineLevel="0" max="21" min="20" style="1" width="22"/>
    <col collapsed="false" customWidth="true" hidden="false" outlineLevel="0" max="22" min="22" style="1" width="12"/>
    <col collapsed="false" customWidth="true" hidden="false" outlineLevel="0" max="24" min="23" style="1" width="14"/>
    <col collapsed="false" customWidth="true" hidden="false" outlineLevel="0" max="25" min="25" style="1" width="12"/>
    <col collapsed="false" customWidth="true" hidden="false" outlineLevel="0" max="29" min="26" style="1" width="14"/>
    <col collapsed="false" customWidth="true" hidden="false" outlineLevel="0" max="30" min="30" style="1" width="30"/>
    <col collapsed="false" customWidth="true" hidden="false" outlineLevel="0" max="31" min="31" style="1" width="38"/>
    <col collapsed="false" customWidth="true" hidden="false" outlineLevel="0" max="32" min="32" style="1" width="50"/>
    <col collapsed="false" customWidth="true" hidden="false" outlineLevel="0" max="33" min="33" style="1" width="12"/>
  </cols>
  <sheetData>
    <row r="1" customFormat="false" ht="24" hidden="false" customHeight="true" outlineLevel="0" collapsed="false">
      <c r="A1" s="25" t="s">
        <v>51</v>
      </c>
    </row>
    <row r="2" customFormat="false" ht="15" hidden="false" customHeight="true" outlineLevel="0" collapsed="false">
      <c r="A2" s="26" t="s">
        <v>52</v>
      </c>
    </row>
    <row r="4" customFormat="false" ht="37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  <c r="K4" s="10" t="s">
        <v>63</v>
      </c>
      <c r="L4" s="10" t="s">
        <v>64</v>
      </c>
      <c r="M4" s="10" t="s">
        <v>65</v>
      </c>
      <c r="N4" s="10" t="s">
        <v>66</v>
      </c>
      <c r="O4" s="10" t="s">
        <v>67</v>
      </c>
      <c r="P4" s="10" t="s">
        <v>68</v>
      </c>
      <c r="Q4" s="10" t="s">
        <v>69</v>
      </c>
      <c r="R4" s="10" t="s">
        <v>70</v>
      </c>
      <c r="S4" s="10" t="s">
        <v>71</v>
      </c>
      <c r="T4" s="10" t="s">
        <v>72</v>
      </c>
      <c r="U4" s="10" t="s">
        <v>73</v>
      </c>
      <c r="V4" s="10" t="s">
        <v>74</v>
      </c>
      <c r="W4" s="10" t="s">
        <v>75</v>
      </c>
      <c r="X4" s="10" t="s">
        <v>76</v>
      </c>
      <c r="Y4" s="10" t="s">
        <v>77</v>
      </c>
      <c r="Z4" s="10" t="s">
        <v>78</v>
      </c>
      <c r="AA4" s="10" t="s">
        <v>79</v>
      </c>
      <c r="AB4" s="10" t="s">
        <v>80</v>
      </c>
      <c r="AC4" s="10" t="s">
        <v>81</v>
      </c>
      <c r="AD4" s="10" t="s">
        <v>82</v>
      </c>
      <c r="AE4" s="10" t="s">
        <v>83</v>
      </c>
      <c r="AF4" s="10" t="s">
        <v>84</v>
      </c>
      <c r="AG4" s="10" t="s">
        <v>85</v>
      </c>
    </row>
    <row r="5" customFormat="false" ht="60" hidden="false" customHeight="true" outlineLevel="0" collapsed="false">
      <c r="A5" s="14" t="s">
        <v>86</v>
      </c>
      <c r="B5" s="14" t="s">
        <v>87</v>
      </c>
      <c r="C5" s="14" t="s">
        <v>88</v>
      </c>
      <c r="D5" s="14" t="s">
        <v>89</v>
      </c>
      <c r="E5" s="14" t="s">
        <v>90</v>
      </c>
      <c r="F5" s="14" t="s">
        <v>91</v>
      </c>
      <c r="G5" s="14" t="s">
        <v>92</v>
      </c>
      <c r="H5" s="14" t="s">
        <v>93</v>
      </c>
      <c r="I5" s="14" t="s">
        <v>94</v>
      </c>
      <c r="J5" s="14" t="s">
        <v>95</v>
      </c>
      <c r="K5" s="27" t="n">
        <v>3850</v>
      </c>
      <c r="L5" s="27" t="n">
        <v>3700</v>
      </c>
      <c r="M5" s="27" t="n">
        <v>3695</v>
      </c>
      <c r="N5" s="28" t="n">
        <f aca="false">IFERROR(IF(L5=K5,0,(M5-K5)/(L5-K5)),0)</f>
        <v>1.03333333333333</v>
      </c>
      <c r="O5" s="14" t="s">
        <v>96</v>
      </c>
      <c r="P5" s="14" t="s">
        <v>97</v>
      </c>
      <c r="Q5" s="29" t="n">
        <v>1</v>
      </c>
      <c r="R5" s="14" t="s">
        <v>98</v>
      </c>
      <c r="S5" s="14" t="s">
        <v>99</v>
      </c>
      <c r="T5" s="14" t="s">
        <v>100</v>
      </c>
      <c r="U5" s="14" t="s">
        <v>101</v>
      </c>
      <c r="V5" s="30" t="n">
        <v>45931</v>
      </c>
      <c r="W5" s="30" t="n">
        <v>46112</v>
      </c>
      <c r="X5" s="30" t="n">
        <v>46109</v>
      </c>
      <c r="Y5" s="31" t="n">
        <f aca="true">IF(X5="",TODAY()-V5,X5-V5)</f>
        <v>178</v>
      </c>
      <c r="Z5" s="32" t="n">
        <v>185000</v>
      </c>
      <c r="AA5" s="32" t="n">
        <v>0</v>
      </c>
      <c r="AB5" s="33" t="n">
        <f aca="false">Z5+AA5</f>
        <v>185000</v>
      </c>
      <c r="AC5" s="14" t="s">
        <v>102</v>
      </c>
      <c r="AD5" s="14"/>
      <c r="AE5" s="14"/>
      <c r="AF5" s="14" t="s">
        <v>103</v>
      </c>
      <c r="AG5" s="30" t="n">
        <v>46153</v>
      </c>
    </row>
    <row r="6" customFormat="false" ht="60" hidden="false" customHeight="true" outlineLevel="0" collapsed="false">
      <c r="A6" s="12" t="s">
        <v>104</v>
      </c>
      <c r="B6" s="12" t="s">
        <v>105</v>
      </c>
      <c r="C6" s="12" t="s">
        <v>106</v>
      </c>
      <c r="D6" s="12" t="s">
        <v>107</v>
      </c>
      <c r="E6" s="12" t="s">
        <v>90</v>
      </c>
      <c r="F6" s="12" t="s">
        <v>91</v>
      </c>
      <c r="G6" s="12" t="s">
        <v>108</v>
      </c>
      <c r="H6" s="12" t="s">
        <v>109</v>
      </c>
      <c r="I6" s="12" t="s">
        <v>110</v>
      </c>
      <c r="J6" s="12" t="s">
        <v>111</v>
      </c>
      <c r="K6" s="34" t="n">
        <v>95</v>
      </c>
      <c r="L6" s="34" t="n">
        <v>105</v>
      </c>
      <c r="M6" s="34" t="n">
        <v>99</v>
      </c>
      <c r="N6" s="28" t="n">
        <f aca="false">IFERROR(IF(L6=K6,0,(M6-K6)/(L6-K6)),0)</f>
        <v>0.4</v>
      </c>
      <c r="O6" s="12" t="s">
        <v>112</v>
      </c>
      <c r="P6" s="12" t="s">
        <v>113</v>
      </c>
      <c r="Q6" s="35" t="n">
        <v>0.65</v>
      </c>
      <c r="R6" s="12" t="s">
        <v>114</v>
      </c>
      <c r="S6" s="12" t="s">
        <v>99</v>
      </c>
      <c r="T6" s="12" t="s">
        <v>115</v>
      </c>
      <c r="U6" s="12" t="s">
        <v>116</v>
      </c>
      <c r="V6" s="36" t="n">
        <v>46037</v>
      </c>
      <c r="W6" s="36" t="n">
        <v>46265</v>
      </c>
      <c r="X6" s="36"/>
      <c r="Y6" s="31" t="n">
        <f aca="true">IF(X6="",TODAY()-V6,X6-V6)</f>
        <v>116</v>
      </c>
      <c r="Z6" s="37" t="n">
        <v>0</v>
      </c>
      <c r="AA6" s="37" t="n">
        <v>0</v>
      </c>
      <c r="AB6" s="33" t="n">
        <f aca="false">Z6+AA6</f>
        <v>0</v>
      </c>
      <c r="AC6" s="12" t="s">
        <v>117</v>
      </c>
      <c r="AD6" s="12"/>
      <c r="AE6" s="12" t="s">
        <v>118</v>
      </c>
      <c r="AF6" s="12"/>
      <c r="AG6" s="36" t="n">
        <v>46153</v>
      </c>
    </row>
    <row r="7" customFormat="false" ht="60" hidden="false" customHeight="true" outlineLevel="0" collapsed="false">
      <c r="A7" s="14" t="s">
        <v>119</v>
      </c>
      <c r="B7" s="14" t="s">
        <v>120</v>
      </c>
      <c r="C7" s="14" t="s">
        <v>88</v>
      </c>
      <c r="D7" s="14" t="s">
        <v>121</v>
      </c>
      <c r="E7" s="14" t="s">
        <v>122</v>
      </c>
      <c r="F7" s="14" t="s">
        <v>91</v>
      </c>
      <c r="G7" s="14" t="s">
        <v>123</v>
      </c>
      <c r="H7" s="14" t="s">
        <v>124</v>
      </c>
      <c r="I7" s="14" t="s">
        <v>125</v>
      </c>
      <c r="J7" s="14" t="s">
        <v>126</v>
      </c>
      <c r="K7" s="27" t="n">
        <v>38</v>
      </c>
      <c r="L7" s="27" t="n">
        <v>28</v>
      </c>
      <c r="M7" s="27" t="n">
        <v>34</v>
      </c>
      <c r="N7" s="28" t="n">
        <f aca="false">IFERROR(IF(L7=K7,0,(M7-K7)/(L7-K7)),0)</f>
        <v>0.4</v>
      </c>
      <c r="O7" s="14" t="s">
        <v>127</v>
      </c>
      <c r="P7" s="14" t="s">
        <v>113</v>
      </c>
      <c r="Q7" s="29" t="n">
        <v>0.4</v>
      </c>
      <c r="R7" s="14" t="s">
        <v>128</v>
      </c>
      <c r="S7" s="14" t="s">
        <v>99</v>
      </c>
      <c r="T7" s="14" t="s">
        <v>129</v>
      </c>
      <c r="U7" s="14" t="s">
        <v>130</v>
      </c>
      <c r="V7" s="30" t="n">
        <v>46054</v>
      </c>
      <c r="W7" s="30" t="n">
        <v>46295</v>
      </c>
      <c r="X7" s="30"/>
      <c r="Y7" s="31" t="n">
        <f aca="true">IF(X7="",TODAY()-V7,X7-V7)</f>
        <v>99</v>
      </c>
      <c r="Z7" s="32" t="n">
        <v>0</v>
      </c>
      <c r="AA7" s="32" t="n">
        <v>0</v>
      </c>
      <c r="AB7" s="33" t="n">
        <f aca="false">Z7+AA7</f>
        <v>0</v>
      </c>
      <c r="AC7" s="14" t="s">
        <v>117</v>
      </c>
      <c r="AD7" s="14"/>
      <c r="AE7" s="14" t="s">
        <v>131</v>
      </c>
      <c r="AF7" s="14"/>
      <c r="AG7" s="30" t="n">
        <v>46153</v>
      </c>
    </row>
    <row r="8" customFormat="false" ht="60" hidden="false" customHeight="true" outlineLevel="0" collapsed="false">
      <c r="A8" s="12" t="s">
        <v>132</v>
      </c>
      <c r="B8" s="12" t="s">
        <v>133</v>
      </c>
      <c r="C8" s="12" t="s">
        <v>134</v>
      </c>
      <c r="D8" s="12" t="s">
        <v>135</v>
      </c>
      <c r="E8" s="12" t="s">
        <v>136</v>
      </c>
      <c r="F8" s="12" t="s">
        <v>91</v>
      </c>
      <c r="G8" s="12" t="s">
        <v>137</v>
      </c>
      <c r="H8" s="12" t="s">
        <v>138</v>
      </c>
      <c r="I8" s="12" t="s">
        <v>139</v>
      </c>
      <c r="J8" s="12" t="s">
        <v>140</v>
      </c>
      <c r="K8" s="34" t="n">
        <v>2.8</v>
      </c>
      <c r="L8" s="34" t="n">
        <v>1.2</v>
      </c>
      <c r="M8" s="34" t="n">
        <v>2.8</v>
      </c>
      <c r="N8" s="28" t="n">
        <f aca="false">IFERROR(IF(L8=K8,0,(M8-K8)/(L8-K8)),0)</f>
        <v>-0</v>
      </c>
      <c r="O8" s="12" t="s">
        <v>141</v>
      </c>
      <c r="P8" s="12" t="s">
        <v>142</v>
      </c>
      <c r="Q8" s="35" t="n">
        <v>0.1</v>
      </c>
      <c r="R8" s="12" t="s">
        <v>143</v>
      </c>
      <c r="S8" s="12" t="s">
        <v>99</v>
      </c>
      <c r="T8" s="12" t="s">
        <v>144</v>
      </c>
      <c r="U8" s="12" t="s">
        <v>145</v>
      </c>
      <c r="V8" s="36" t="n">
        <v>46042</v>
      </c>
      <c r="W8" s="36" t="n">
        <v>46203</v>
      </c>
      <c r="X8" s="36" t="n">
        <v>46096</v>
      </c>
      <c r="Y8" s="31" t="n">
        <f aca="true">IF(X8="",TODAY()-V8,X8-V8)</f>
        <v>54</v>
      </c>
      <c r="Z8" s="37" t="n">
        <v>0</v>
      </c>
      <c r="AA8" s="37" t="n">
        <v>0</v>
      </c>
      <c r="AB8" s="33" t="n">
        <f aca="false">Z8+AA8</f>
        <v>0</v>
      </c>
      <c r="AC8" s="12" t="s">
        <v>146</v>
      </c>
      <c r="AD8" s="12" t="s">
        <v>147</v>
      </c>
      <c r="AE8" s="12"/>
      <c r="AF8" s="12" t="s">
        <v>148</v>
      </c>
      <c r="AG8" s="36" t="n">
        <v>46153</v>
      </c>
    </row>
    <row r="9" customFormat="false" ht="60" hidden="false" customHeight="true" outlineLevel="0" collapsed="false">
      <c r="A9" s="14" t="s">
        <v>149</v>
      </c>
      <c r="B9" s="14" t="s">
        <v>150</v>
      </c>
      <c r="C9" s="14" t="s">
        <v>151</v>
      </c>
      <c r="D9" s="14" t="s">
        <v>152</v>
      </c>
      <c r="E9" s="14" t="s">
        <v>90</v>
      </c>
      <c r="F9" s="14" t="s">
        <v>91</v>
      </c>
      <c r="G9" s="14" t="s">
        <v>153</v>
      </c>
      <c r="H9" s="14" t="s">
        <v>154</v>
      </c>
      <c r="I9" s="14" t="s">
        <v>155</v>
      </c>
      <c r="J9" s="14" t="s">
        <v>156</v>
      </c>
      <c r="K9" s="27" t="n">
        <v>14</v>
      </c>
      <c r="L9" s="27" t="n">
        <v>6</v>
      </c>
      <c r="M9" s="27" t="n">
        <v>14</v>
      </c>
      <c r="N9" s="28" t="n">
        <f aca="false">IFERROR(IF(L9=K9,0,(M9-K9)/(L9-K9)),0)</f>
        <v>-0</v>
      </c>
      <c r="O9" s="14" t="s">
        <v>157</v>
      </c>
      <c r="P9" s="14" t="s">
        <v>142</v>
      </c>
      <c r="Q9" s="29" t="n">
        <v>0.15</v>
      </c>
      <c r="R9" s="14" t="s">
        <v>158</v>
      </c>
      <c r="S9" s="14" t="s">
        <v>99</v>
      </c>
      <c r="T9" s="14" t="s">
        <v>159</v>
      </c>
      <c r="U9" s="14" t="s">
        <v>160</v>
      </c>
      <c r="V9" s="30" t="n">
        <v>46037</v>
      </c>
      <c r="W9" s="30" t="n">
        <v>46203</v>
      </c>
      <c r="X9" s="30" t="n">
        <v>46113</v>
      </c>
      <c r="Y9" s="31" t="n">
        <f aca="true">IF(X9="",TODAY()-V9,X9-V9)</f>
        <v>76</v>
      </c>
      <c r="Z9" s="32" t="n">
        <v>0</v>
      </c>
      <c r="AA9" s="32" t="n">
        <v>0</v>
      </c>
      <c r="AB9" s="33" t="n">
        <f aca="false">Z9+AA9</f>
        <v>0</v>
      </c>
      <c r="AC9" s="14" t="s">
        <v>146</v>
      </c>
      <c r="AD9" s="14" t="s">
        <v>161</v>
      </c>
      <c r="AE9" s="14"/>
      <c r="AF9" s="14" t="s">
        <v>162</v>
      </c>
      <c r="AG9" s="30" t="n">
        <v>46153</v>
      </c>
    </row>
    <row r="10" customFormat="false" ht="60" hidden="false" customHeight="true" outlineLevel="0" collapsed="false">
      <c r="A10" s="12" t="s">
        <v>163</v>
      </c>
      <c r="B10" s="12" t="s">
        <v>164</v>
      </c>
      <c r="C10" s="12" t="s">
        <v>165</v>
      </c>
      <c r="D10" s="12" t="s">
        <v>166</v>
      </c>
      <c r="E10" s="12" t="s">
        <v>90</v>
      </c>
      <c r="F10" s="12" t="s">
        <v>91</v>
      </c>
      <c r="G10" s="12" t="s">
        <v>167</v>
      </c>
      <c r="H10" s="12" t="s">
        <v>168</v>
      </c>
      <c r="I10" s="12" t="s">
        <v>169</v>
      </c>
      <c r="J10" s="12" t="s">
        <v>170</v>
      </c>
      <c r="K10" s="34" t="n">
        <v>1.2</v>
      </c>
      <c r="L10" s="34" t="n">
        <v>2</v>
      </c>
      <c r="M10" s="34" t="n">
        <v>1.2</v>
      </c>
      <c r="N10" s="28" t="n">
        <f aca="false">IFERROR(IF(L10=K10,0,(M10-K10)/(L10-K10)),0)</f>
        <v>0</v>
      </c>
      <c r="O10" s="12" t="s">
        <v>141</v>
      </c>
      <c r="P10" s="12" t="s">
        <v>142</v>
      </c>
      <c r="Q10" s="35" t="n">
        <v>0.05</v>
      </c>
      <c r="R10" s="12" t="s">
        <v>171</v>
      </c>
      <c r="S10" s="12" t="s">
        <v>99</v>
      </c>
      <c r="T10" s="12" t="s">
        <v>172</v>
      </c>
      <c r="U10" s="12" t="s">
        <v>173</v>
      </c>
      <c r="V10" s="36" t="n">
        <v>46054</v>
      </c>
      <c r="W10" s="36" t="n">
        <v>46265</v>
      </c>
      <c r="X10" s="36" t="n">
        <v>46106</v>
      </c>
      <c r="Y10" s="31" t="n">
        <f aca="true">IF(X10="",TODAY()-V10,X10-V10)</f>
        <v>52</v>
      </c>
      <c r="Z10" s="37" t="n">
        <v>0</v>
      </c>
      <c r="AA10" s="37" t="n">
        <v>0</v>
      </c>
      <c r="AB10" s="33" t="n">
        <f aca="false">Z10+AA10</f>
        <v>0</v>
      </c>
      <c r="AC10" s="12" t="s">
        <v>146</v>
      </c>
      <c r="AD10" s="12" t="s">
        <v>174</v>
      </c>
      <c r="AE10" s="12"/>
      <c r="AF10" s="12" t="s">
        <v>175</v>
      </c>
      <c r="AG10" s="36" t="n">
        <v>46153</v>
      </c>
    </row>
    <row r="11" customFormat="false" ht="60" hidden="false" customHeight="true" outlineLevel="0" collapsed="false">
      <c r="A11" s="14" t="s">
        <v>176</v>
      </c>
      <c r="B11" s="14" t="s">
        <v>177</v>
      </c>
      <c r="C11" s="14" t="s">
        <v>88</v>
      </c>
      <c r="D11" s="14" t="s">
        <v>89</v>
      </c>
      <c r="E11" s="14" t="s">
        <v>178</v>
      </c>
      <c r="F11" s="14" t="s">
        <v>179</v>
      </c>
      <c r="G11" s="14" t="s">
        <v>180</v>
      </c>
      <c r="H11" s="14" t="s">
        <v>181</v>
      </c>
      <c r="I11" s="14" t="s">
        <v>182</v>
      </c>
      <c r="J11" s="14" t="s">
        <v>140</v>
      </c>
      <c r="K11" s="27" t="n">
        <v>12</v>
      </c>
      <c r="L11" s="27" t="n">
        <v>22</v>
      </c>
      <c r="M11" s="27" t="n">
        <v>15</v>
      </c>
      <c r="N11" s="28" t="n">
        <f aca="false">IFERROR(IF(L11=K11,0,(M11-K11)/(L11-K11)),0)</f>
        <v>0.3</v>
      </c>
      <c r="O11" s="14" t="s">
        <v>112</v>
      </c>
      <c r="P11" s="14" t="s">
        <v>113</v>
      </c>
      <c r="Q11" s="29" t="n">
        <v>0.55</v>
      </c>
      <c r="R11" s="14" t="s">
        <v>183</v>
      </c>
      <c r="S11" s="14" t="s">
        <v>184</v>
      </c>
      <c r="T11" s="14" t="s">
        <v>185</v>
      </c>
      <c r="U11" s="14" t="s">
        <v>101</v>
      </c>
      <c r="V11" s="30" t="n">
        <v>45962</v>
      </c>
      <c r="W11" s="30" t="n">
        <v>46387</v>
      </c>
      <c r="X11" s="30"/>
      <c r="Y11" s="31" t="n">
        <f aca="true">IF(X11="",TODAY()-V11,X11-V11)</f>
        <v>191</v>
      </c>
      <c r="Z11" s="38" t="n">
        <v>0</v>
      </c>
      <c r="AA11" s="38" t="n">
        <v>0</v>
      </c>
      <c r="AB11" s="39" t="n">
        <f aca="false">Z11+AA11</f>
        <v>0</v>
      </c>
      <c r="AC11" s="14" t="s">
        <v>117</v>
      </c>
      <c r="AD11" s="14"/>
      <c r="AE11" s="14" t="s">
        <v>186</v>
      </c>
      <c r="AF11" s="14"/>
      <c r="AG11" s="30" t="n">
        <v>46153</v>
      </c>
    </row>
    <row r="12" customFormat="false" ht="60" hidden="false" customHeight="true" outlineLevel="0" collapsed="false">
      <c r="A12" s="12" t="s">
        <v>187</v>
      </c>
      <c r="B12" s="12" t="s">
        <v>188</v>
      </c>
      <c r="C12" s="12" t="s">
        <v>106</v>
      </c>
      <c r="D12" s="12" t="s">
        <v>189</v>
      </c>
      <c r="E12" s="12" t="s">
        <v>178</v>
      </c>
      <c r="F12" s="12" t="s">
        <v>179</v>
      </c>
      <c r="G12" s="12" t="s">
        <v>190</v>
      </c>
      <c r="H12" s="12" t="s">
        <v>191</v>
      </c>
      <c r="I12" s="12" t="s">
        <v>192</v>
      </c>
      <c r="J12" s="12" t="s">
        <v>193</v>
      </c>
      <c r="K12" s="34" t="n">
        <v>0.78</v>
      </c>
      <c r="L12" s="34" t="n">
        <v>0.72</v>
      </c>
      <c r="M12" s="34" t="n">
        <v>0.76</v>
      </c>
      <c r="N12" s="28" t="n">
        <f aca="false">IFERROR(IF(L12=K12,0,(M12-K12)/(L12-K12)),0)</f>
        <v>0.333333333333333</v>
      </c>
      <c r="O12" s="12" t="s">
        <v>127</v>
      </c>
      <c r="P12" s="12" t="s">
        <v>113</v>
      </c>
      <c r="Q12" s="35" t="n">
        <v>0.45</v>
      </c>
      <c r="R12" s="12" t="s">
        <v>194</v>
      </c>
      <c r="S12" s="12" t="s">
        <v>184</v>
      </c>
      <c r="T12" s="12" t="s">
        <v>195</v>
      </c>
      <c r="U12" s="12" t="s">
        <v>116</v>
      </c>
      <c r="V12" s="36" t="n">
        <v>46030</v>
      </c>
      <c r="W12" s="36" t="n">
        <v>46356</v>
      </c>
      <c r="X12" s="36"/>
      <c r="Y12" s="31" t="n">
        <f aca="true">IF(X12="",TODAY()-V12,X12-V12)</f>
        <v>123</v>
      </c>
      <c r="Z12" s="40" t="n">
        <v>0</v>
      </c>
      <c r="AA12" s="40" t="n">
        <v>0</v>
      </c>
      <c r="AB12" s="39" t="n">
        <f aca="false">Z12+AA12</f>
        <v>0</v>
      </c>
      <c r="AC12" s="12" t="s">
        <v>117</v>
      </c>
      <c r="AD12" s="12"/>
      <c r="AE12" s="12" t="s">
        <v>196</v>
      </c>
      <c r="AF12" s="12"/>
      <c r="AG12" s="36" t="n">
        <v>46153</v>
      </c>
    </row>
    <row r="13" customFormat="false" ht="60" hidden="false" customHeight="true" outlineLevel="0" collapsed="false">
      <c r="A13" s="14" t="s">
        <v>197</v>
      </c>
      <c r="B13" s="14" t="s">
        <v>198</v>
      </c>
      <c r="C13" s="14" t="s">
        <v>88</v>
      </c>
      <c r="D13" s="14" t="s">
        <v>199</v>
      </c>
      <c r="E13" s="14" t="s">
        <v>90</v>
      </c>
      <c r="F13" s="14" t="s">
        <v>179</v>
      </c>
      <c r="G13" s="14" t="s">
        <v>200</v>
      </c>
      <c r="H13" s="14" t="s">
        <v>201</v>
      </c>
      <c r="I13" s="14" t="s">
        <v>202</v>
      </c>
      <c r="J13" s="14" t="s">
        <v>203</v>
      </c>
      <c r="K13" s="27" t="n">
        <v>24.5</v>
      </c>
      <c r="L13" s="27" t="n">
        <v>21.5</v>
      </c>
      <c r="M13" s="27" t="n">
        <v>23.8</v>
      </c>
      <c r="N13" s="28" t="n">
        <f aca="false">IFERROR(IF(L13=K13,0,(M13-K13)/(L13-K13)),0)</f>
        <v>0.233333333333333</v>
      </c>
      <c r="O13" s="14" t="s">
        <v>157</v>
      </c>
      <c r="P13" s="14" t="s">
        <v>113</v>
      </c>
      <c r="Q13" s="29" t="n">
        <v>0.25</v>
      </c>
      <c r="R13" s="14" t="s">
        <v>204</v>
      </c>
      <c r="S13" s="14" t="s">
        <v>184</v>
      </c>
      <c r="T13" s="14" t="s">
        <v>205</v>
      </c>
      <c r="U13" s="14" t="s">
        <v>130</v>
      </c>
      <c r="V13" s="30" t="n">
        <v>46068</v>
      </c>
      <c r="W13" s="30" t="n">
        <v>46477</v>
      </c>
      <c r="X13" s="30"/>
      <c r="Y13" s="31" t="n">
        <f aca="true">IF(X13="",TODAY()-V13,X13-V13)</f>
        <v>85</v>
      </c>
      <c r="Z13" s="38" t="n">
        <v>0</v>
      </c>
      <c r="AA13" s="38" t="n">
        <v>0</v>
      </c>
      <c r="AB13" s="39" t="n">
        <f aca="false">Z13+AA13</f>
        <v>0</v>
      </c>
      <c r="AC13" s="14" t="s">
        <v>117</v>
      </c>
      <c r="AD13" s="14"/>
      <c r="AE13" s="14" t="s">
        <v>206</v>
      </c>
      <c r="AF13" s="14"/>
      <c r="AG13" s="30" t="n">
        <v>46153</v>
      </c>
    </row>
    <row r="14" customFormat="false" ht="60" hidden="false" customHeight="true" outlineLevel="0" collapsed="false">
      <c r="A14" s="12" t="s">
        <v>207</v>
      </c>
      <c r="B14" s="12" t="s">
        <v>208</v>
      </c>
      <c r="C14" s="12" t="s">
        <v>151</v>
      </c>
      <c r="D14" s="12" t="s">
        <v>152</v>
      </c>
      <c r="E14" s="12" t="s">
        <v>90</v>
      </c>
      <c r="F14" s="12" t="s">
        <v>179</v>
      </c>
      <c r="G14" s="12" t="s">
        <v>209</v>
      </c>
      <c r="H14" s="12" t="s">
        <v>210</v>
      </c>
      <c r="I14" s="12" t="s">
        <v>211</v>
      </c>
      <c r="J14" s="12" t="s">
        <v>140</v>
      </c>
      <c r="K14" s="34" t="n">
        <v>48</v>
      </c>
      <c r="L14" s="34" t="n">
        <v>32</v>
      </c>
      <c r="M14" s="34" t="n">
        <v>44</v>
      </c>
      <c r="N14" s="28" t="n">
        <f aca="false">IFERROR(IF(L14=K14,0,(M14-K14)/(L14-K14)),0)</f>
        <v>0.25</v>
      </c>
      <c r="O14" s="12" t="s">
        <v>112</v>
      </c>
      <c r="P14" s="12" t="s">
        <v>113</v>
      </c>
      <c r="Q14" s="35" t="n">
        <v>0.6</v>
      </c>
      <c r="R14" s="12" t="s">
        <v>183</v>
      </c>
      <c r="S14" s="12" t="s">
        <v>184</v>
      </c>
      <c r="T14" s="12" t="s">
        <v>185</v>
      </c>
      <c r="U14" s="12" t="s">
        <v>159</v>
      </c>
      <c r="V14" s="36" t="n">
        <v>45992</v>
      </c>
      <c r="W14" s="36" t="n">
        <v>46387</v>
      </c>
      <c r="X14" s="36"/>
      <c r="Y14" s="31" t="n">
        <f aca="true">IF(X14="",TODAY()-V14,X14-V14)</f>
        <v>161</v>
      </c>
      <c r="Z14" s="40" t="n">
        <v>0</v>
      </c>
      <c r="AA14" s="40" t="n">
        <v>0</v>
      </c>
      <c r="AB14" s="39" t="n">
        <f aca="false">Z14+AA14</f>
        <v>0</v>
      </c>
      <c r="AC14" s="12" t="s">
        <v>117</v>
      </c>
      <c r="AD14" s="12"/>
      <c r="AE14" s="12" t="s">
        <v>212</v>
      </c>
      <c r="AF14" s="12"/>
      <c r="AG14" s="36" t="n">
        <v>46153</v>
      </c>
    </row>
    <row r="15" customFormat="false" ht="60" hidden="false" customHeight="true" outlineLevel="0" collapsed="false">
      <c r="A15" s="14" t="s">
        <v>213</v>
      </c>
      <c r="B15" s="14" t="s">
        <v>214</v>
      </c>
      <c r="C15" s="14" t="s">
        <v>106</v>
      </c>
      <c r="D15" s="14" t="s">
        <v>136</v>
      </c>
      <c r="E15" s="14" t="s">
        <v>136</v>
      </c>
      <c r="F15" s="14" t="s">
        <v>179</v>
      </c>
      <c r="G15" s="14" t="s">
        <v>215</v>
      </c>
      <c r="H15" s="14" t="s">
        <v>216</v>
      </c>
      <c r="I15" s="14" t="s">
        <v>217</v>
      </c>
      <c r="J15" s="14" t="s">
        <v>218</v>
      </c>
      <c r="K15" s="27" t="n">
        <v>2.8</v>
      </c>
      <c r="L15" s="27" t="n">
        <v>1.8</v>
      </c>
      <c r="M15" s="27" t="n">
        <v>2.8</v>
      </c>
      <c r="N15" s="28" t="n">
        <f aca="false">IFERROR(IF(L15=K15,0,(M15-K15)/(L15-K15)),0)</f>
        <v>-0</v>
      </c>
      <c r="O15" s="14" t="s">
        <v>141</v>
      </c>
      <c r="P15" s="14" t="s">
        <v>113</v>
      </c>
      <c r="Q15" s="29" t="n">
        <v>0.15</v>
      </c>
      <c r="R15" s="14" t="s">
        <v>194</v>
      </c>
      <c r="S15" s="14" t="s">
        <v>184</v>
      </c>
      <c r="T15" s="14" t="s">
        <v>219</v>
      </c>
      <c r="U15" s="14" t="s">
        <v>145</v>
      </c>
      <c r="V15" s="30" t="n">
        <v>46113</v>
      </c>
      <c r="W15" s="30" t="n">
        <v>46568</v>
      </c>
      <c r="X15" s="30"/>
      <c r="Y15" s="31" t="n">
        <f aca="true">IF(X15="",TODAY()-V15,X15-V15)</f>
        <v>40</v>
      </c>
      <c r="Z15" s="38" t="n">
        <v>0</v>
      </c>
      <c r="AA15" s="38" t="n">
        <v>0</v>
      </c>
      <c r="AB15" s="39" t="n">
        <f aca="false">Z15+AA15</f>
        <v>0</v>
      </c>
      <c r="AC15" s="14" t="s">
        <v>117</v>
      </c>
      <c r="AD15" s="14"/>
      <c r="AE15" s="14" t="s">
        <v>220</v>
      </c>
      <c r="AF15" s="14"/>
      <c r="AG15" s="30" t="n">
        <v>46153</v>
      </c>
    </row>
  </sheetData>
  <conditionalFormatting sqref="Q5:Q200">
    <cfRule type="dataBar" priority="2">
      <dataBar showValue="1" minLength="10" maxLength="90">
        <cfvo type="num" val="0"/>
        <cfvo type="num" val="1"/>
        <color rgb="FF101B46"/>
      </dataBar>
      <extLst>
        <ext xmlns:x14="http://schemas.microsoft.com/office/spreadsheetml/2009/9/main" uri="{B025F937-C7B1-47D3-B67F-A62EFF666E3E}">
          <x14:id>{BE789D4D-8A5E-47C4-AA47-7B91BCF18B70}</x14:id>
        </ext>
      </extLst>
    </cfRule>
  </conditionalFormatting>
  <conditionalFormatting sqref="N5:N200">
    <cfRule type="colorScale" priority="3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conditionalFormatting sqref="P5:P200">
    <cfRule type="expression" priority="4" aboveAverage="0" equalAverage="0" bottom="0" percent="0" rank="0" text="" dxfId="0">
      <formula>$P5="Closed-Benefits"</formula>
    </cfRule>
    <cfRule type="expression" priority="5" aboveAverage="0" equalAverage="0" bottom="0" percent="0" rank="0" text="" dxfId="1">
      <formula>$P5="Active"</formula>
    </cfRule>
    <cfRule type="expression" priority="6" aboveAverage="0" equalAverage="0" bottom="0" percent="0" rank="0" text="" dxfId="2">
      <formula>OR($P5="Cancelled",$P5="On-Hold")</formula>
    </cfRule>
    <cfRule type="expression" priority="7" aboveAverage="0" equalAverage="0" bottom="0" percent="0" rank="0" text="" dxfId="3">
      <formula>$P5="Closed-NoBenefits"</formula>
    </cfRule>
  </conditionalFormatting>
  <conditionalFormatting sqref="W5:W200">
    <cfRule type="expression" priority="8" aboveAverage="0" equalAverage="0" bottom="0" percent="0" rank="0" text="" dxfId="4">
      <formula>AND(W5&lt;TODAY(),$P5="Active")</formula>
    </cfRule>
  </conditionalFormatting>
  <dataValidations count="8">
    <dataValidation allowBlank="true" errorStyle="stop" operator="between" showDropDown="false" showErrorMessage="false" showInputMessage="false" sqref="C5:C200" type="list">
      <formula1>Sites</formula1>
      <formula2>0</formula2>
    </dataValidation>
    <dataValidation allowBlank="true" errorStyle="stop" operator="between" showDropDown="false" showErrorMessage="false" showInputMessage="false" sqref="E5:E200" type="list">
      <formula1>Pillars</formula1>
      <formula2>0</formula2>
    </dataValidation>
    <dataValidation allowBlank="true" errorStyle="stop" operator="between" showDropDown="false" showErrorMessage="false" showInputMessage="false" sqref="F5:F200" type="list">
      <formula1>ProjectTypes</formula1>
      <formula2>0</formula2>
    </dataValidation>
    <dataValidation allowBlank="true" errorStyle="stop" operator="between" showDropDown="false" showErrorMessage="false" showInputMessage="false" sqref="O5:O200" type="list">
      <formula1>Phases</formula1>
      <formula2>0</formula2>
    </dataValidation>
    <dataValidation allowBlank="true" errorStyle="stop" operator="between" showDropDown="false" showErrorMessage="false" showInputMessage="false" sqref="P5:P200" type="list">
      <formula1>Statuses</formula1>
      <formula2>0</formula2>
    </dataValidation>
    <dataValidation allowBlank="true" errorStyle="stop" operator="between" showDropDown="false" showErrorMessage="false" showInputMessage="false" sqref="S5:S200" type="list">
      <formula1>BeltLevels</formula1>
      <formula2>0</formula2>
    </dataValidation>
    <dataValidation allowBlank="true" errorStyle="stop" operator="between" showDropDown="false" showErrorMessage="false" showInputMessage="false" sqref="AC5:AC200" type="list">
      <formula1>YesNo</formula1>
      <formula2>0</formula2>
    </dataValidation>
    <dataValidation allowBlank="true" errorStyle="stop" operator="between" showDropDown="false" showErrorMessage="false" showInputMessage="false" sqref="AD5:AD200" type="list">
      <formula1>CancelReasons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789D4D-8A5E-47C4-AA47-7B91BCF18B7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1B46"/>
              <x14:axisColor rgb="FF000000"/>
            </x14:dataBar>
          </x14:cfRule>
          <xm:sqref>Q5:Q200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4" min="4" style="1" width="8"/>
    <col collapsed="false" customWidth="true" hidden="false" outlineLevel="0" max="6" min="5" style="1" width="22"/>
    <col collapsed="false" customWidth="true" hidden="false" outlineLevel="0" max="10" min="7" style="1" width="14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6" min="16" style="1" width="40"/>
  </cols>
  <sheetData>
    <row r="1" customFormat="false" ht="24" hidden="false" customHeight="true" outlineLevel="0" collapsed="false">
      <c r="A1" s="25" t="s">
        <v>221</v>
      </c>
    </row>
    <row r="2" customFormat="false" ht="15" hidden="false" customHeight="true" outlineLevel="0" collapsed="false">
      <c r="A2" s="26" t="s">
        <v>222</v>
      </c>
    </row>
    <row r="3" customFormat="false" ht="15" hidden="false" customHeight="true" outlineLevel="0" collapsed="false">
      <c r="A3" s="7"/>
    </row>
    <row r="4" customFormat="false" ht="37.5" hidden="false" customHeight="true" outlineLevel="0" collapsed="false">
      <c r="A4" s="10" t="s">
        <v>223</v>
      </c>
      <c r="B4" s="10" t="s">
        <v>224</v>
      </c>
      <c r="C4" s="10" t="s">
        <v>225</v>
      </c>
      <c r="D4" s="10" t="s">
        <v>55</v>
      </c>
      <c r="E4" s="10" t="s">
        <v>56</v>
      </c>
      <c r="F4" s="10" t="s">
        <v>226</v>
      </c>
      <c r="G4" s="10" t="s">
        <v>71</v>
      </c>
      <c r="H4" s="10" t="s">
        <v>227</v>
      </c>
      <c r="I4" s="10" t="s">
        <v>228</v>
      </c>
      <c r="J4" s="10" t="s">
        <v>229</v>
      </c>
      <c r="K4" s="10" t="s">
        <v>230</v>
      </c>
      <c r="L4" s="10" t="s">
        <v>231</v>
      </c>
      <c r="M4" s="10" t="s">
        <v>232</v>
      </c>
      <c r="N4" s="10" t="s">
        <v>233</v>
      </c>
      <c r="O4" s="10" t="s">
        <v>68</v>
      </c>
      <c r="P4" s="10" t="s">
        <v>234</v>
      </c>
    </row>
    <row r="5" customFormat="false" ht="24.75" hidden="false" customHeight="true" outlineLevel="0" collapsed="false">
      <c r="A5" s="14" t="s">
        <v>235</v>
      </c>
      <c r="B5" s="14" t="s">
        <v>98</v>
      </c>
      <c r="C5" s="14" t="s">
        <v>236</v>
      </c>
      <c r="D5" s="14" t="s">
        <v>88</v>
      </c>
      <c r="E5" s="14" t="s">
        <v>89</v>
      </c>
      <c r="F5" s="14" t="s">
        <v>237</v>
      </c>
      <c r="G5" s="14" t="s">
        <v>99</v>
      </c>
      <c r="H5" s="30" t="n">
        <v>46037</v>
      </c>
      <c r="I5" s="30" t="n">
        <v>46109</v>
      </c>
      <c r="J5" s="14" t="s">
        <v>238</v>
      </c>
      <c r="K5" s="31" t="n">
        <f aca="false">COUNTIFS(01_Projects!R:R,B5,01_Projects!P:P,"Active")</f>
        <v>0</v>
      </c>
      <c r="L5" s="31" t="n">
        <f aca="false">COUNTIFS(01_Projects!R:R,B5,01_Projects!P:P,"Closed-Benefits")</f>
        <v>1</v>
      </c>
      <c r="M5" s="31" t="n">
        <f aca="false">COUNTIFS(01_Projects!R:R,B5,01_Projects!P:P,"Cancelled")</f>
        <v>0</v>
      </c>
      <c r="N5" s="33" t="n">
        <f aca="false">SUMIFS(01_Projects!AB:AB,01_Projects!R:R,B5,01_Projects!P:P,"Closed-Benefits")</f>
        <v>185000</v>
      </c>
      <c r="O5" s="14" t="s">
        <v>113</v>
      </c>
      <c r="P5" s="14" t="s">
        <v>239</v>
      </c>
    </row>
    <row r="6" customFormat="false" ht="24.75" hidden="false" customHeight="true" outlineLevel="0" collapsed="false">
      <c r="A6" s="12" t="s">
        <v>240</v>
      </c>
      <c r="B6" s="12" t="s">
        <v>114</v>
      </c>
      <c r="C6" s="12" t="s">
        <v>241</v>
      </c>
      <c r="D6" s="12" t="s">
        <v>106</v>
      </c>
      <c r="E6" s="12" t="s">
        <v>107</v>
      </c>
      <c r="F6" s="12" t="s">
        <v>242</v>
      </c>
      <c r="G6" s="12" t="s">
        <v>99</v>
      </c>
      <c r="H6" s="36" t="n">
        <v>46037</v>
      </c>
      <c r="I6" s="36"/>
      <c r="J6" s="12" t="s">
        <v>238</v>
      </c>
      <c r="K6" s="31" t="n">
        <f aca="false">COUNTIFS(01_Projects!R:R,B6,01_Projects!P:P,"Active")</f>
        <v>1</v>
      </c>
      <c r="L6" s="31" t="n">
        <f aca="false">COUNTIFS(01_Projects!R:R,B6,01_Projects!P:P,"Closed-Benefits")</f>
        <v>0</v>
      </c>
      <c r="M6" s="31" t="n">
        <f aca="false">COUNTIFS(01_Projects!R:R,B6,01_Projects!P:P,"Cancelled")</f>
        <v>0</v>
      </c>
      <c r="N6" s="33" t="n">
        <f aca="false">SUMIFS(01_Projects!AB:AB,01_Projects!R:R,B6,01_Projects!P:P,"Closed-Benefits")</f>
        <v>0</v>
      </c>
      <c r="O6" s="12" t="s">
        <v>113</v>
      </c>
      <c r="P6" s="12"/>
    </row>
    <row r="7" customFormat="false" ht="24.75" hidden="false" customHeight="true" outlineLevel="0" collapsed="false">
      <c r="A7" s="14" t="s">
        <v>243</v>
      </c>
      <c r="B7" s="14" t="s">
        <v>128</v>
      </c>
      <c r="C7" s="14" t="s">
        <v>244</v>
      </c>
      <c r="D7" s="14" t="s">
        <v>88</v>
      </c>
      <c r="E7" s="14" t="s">
        <v>121</v>
      </c>
      <c r="F7" s="14" t="s">
        <v>245</v>
      </c>
      <c r="G7" s="14" t="s">
        <v>99</v>
      </c>
      <c r="H7" s="30" t="n">
        <v>46037</v>
      </c>
      <c r="I7" s="30"/>
      <c r="J7" s="14" t="s">
        <v>238</v>
      </c>
      <c r="K7" s="31" t="n">
        <f aca="false">COUNTIFS(01_Projects!R:R,B7,01_Projects!P:P,"Active")</f>
        <v>1</v>
      </c>
      <c r="L7" s="31" t="n">
        <f aca="false">COUNTIFS(01_Projects!R:R,B7,01_Projects!P:P,"Closed-Benefits")</f>
        <v>0</v>
      </c>
      <c r="M7" s="31" t="n">
        <f aca="false">COUNTIFS(01_Projects!R:R,B7,01_Projects!P:P,"Cancelled")</f>
        <v>0</v>
      </c>
      <c r="N7" s="33" t="n">
        <f aca="false">SUMIFS(01_Projects!AB:AB,01_Projects!R:R,B7,01_Projects!P:P,"Closed-Benefits")</f>
        <v>0</v>
      </c>
      <c r="O7" s="14" t="s">
        <v>113</v>
      </c>
      <c r="P7" s="14"/>
    </row>
    <row r="8" customFormat="false" ht="24.75" hidden="false" customHeight="true" outlineLevel="0" collapsed="false">
      <c r="A8" s="12" t="s">
        <v>246</v>
      </c>
      <c r="B8" s="12" t="s">
        <v>143</v>
      </c>
      <c r="C8" s="12" t="s">
        <v>247</v>
      </c>
      <c r="D8" s="12" t="s">
        <v>134</v>
      </c>
      <c r="E8" s="12" t="s">
        <v>135</v>
      </c>
      <c r="F8" s="12" t="s">
        <v>248</v>
      </c>
      <c r="G8" s="12" t="s">
        <v>99</v>
      </c>
      <c r="H8" s="36" t="n">
        <v>46037</v>
      </c>
      <c r="I8" s="36"/>
      <c r="J8" s="12" t="s">
        <v>238</v>
      </c>
      <c r="K8" s="31" t="n">
        <f aca="false">COUNTIFS(01_Projects!R:R,B8,01_Projects!P:P,"Active")</f>
        <v>0</v>
      </c>
      <c r="L8" s="31" t="n">
        <f aca="false">COUNTIFS(01_Projects!R:R,B8,01_Projects!P:P,"Closed-Benefits")</f>
        <v>0</v>
      </c>
      <c r="M8" s="31" t="n">
        <f aca="false">COUNTIFS(01_Projects!R:R,B8,01_Projects!P:P,"Cancelled")</f>
        <v>1</v>
      </c>
      <c r="N8" s="33" t="n">
        <f aca="false">SUMIFS(01_Projects!AB:AB,01_Projects!R:R,B8,01_Projects!P:P,"Closed-Benefits")</f>
        <v>0</v>
      </c>
      <c r="O8" s="12" t="s">
        <v>113</v>
      </c>
      <c r="P8" s="12" t="s">
        <v>249</v>
      </c>
    </row>
    <row r="9" customFormat="false" ht="24.75" hidden="false" customHeight="true" outlineLevel="0" collapsed="false">
      <c r="A9" s="14" t="s">
        <v>250</v>
      </c>
      <c r="B9" s="14" t="s">
        <v>158</v>
      </c>
      <c r="C9" s="14" t="s">
        <v>251</v>
      </c>
      <c r="D9" s="14" t="s">
        <v>151</v>
      </c>
      <c r="E9" s="14" t="s">
        <v>152</v>
      </c>
      <c r="F9" s="14" t="s">
        <v>252</v>
      </c>
      <c r="G9" s="14" t="s">
        <v>99</v>
      </c>
      <c r="H9" s="30" t="n">
        <v>46037</v>
      </c>
      <c r="I9" s="30"/>
      <c r="J9" s="14" t="s">
        <v>238</v>
      </c>
      <c r="K9" s="31" t="n">
        <f aca="false">COUNTIFS(01_Projects!R:R,B9,01_Projects!P:P,"Active")</f>
        <v>0</v>
      </c>
      <c r="L9" s="31" t="n">
        <f aca="false">COUNTIFS(01_Projects!R:R,B9,01_Projects!P:P,"Closed-Benefits")</f>
        <v>0</v>
      </c>
      <c r="M9" s="31" t="n">
        <f aca="false">COUNTIFS(01_Projects!R:R,B9,01_Projects!P:P,"Cancelled")</f>
        <v>1</v>
      </c>
      <c r="N9" s="33" t="n">
        <f aca="false">SUMIFS(01_Projects!AB:AB,01_Projects!R:R,B9,01_Projects!P:P,"Closed-Benefits")</f>
        <v>0</v>
      </c>
      <c r="O9" s="14" t="s">
        <v>113</v>
      </c>
      <c r="P9" s="14" t="s">
        <v>249</v>
      </c>
    </row>
    <row r="10" customFormat="false" ht="24.75" hidden="false" customHeight="true" outlineLevel="0" collapsed="false">
      <c r="A10" s="12" t="s">
        <v>253</v>
      </c>
      <c r="B10" s="12" t="s">
        <v>171</v>
      </c>
      <c r="C10" s="12" t="s">
        <v>254</v>
      </c>
      <c r="D10" s="12" t="s">
        <v>165</v>
      </c>
      <c r="E10" s="12" t="s">
        <v>166</v>
      </c>
      <c r="F10" s="12" t="s">
        <v>255</v>
      </c>
      <c r="G10" s="12" t="s">
        <v>99</v>
      </c>
      <c r="H10" s="36" t="n">
        <v>46037</v>
      </c>
      <c r="I10" s="36"/>
      <c r="J10" s="12" t="s">
        <v>238</v>
      </c>
      <c r="K10" s="31" t="n">
        <f aca="false">COUNTIFS(01_Projects!R:R,B10,01_Projects!P:P,"Active")</f>
        <v>0</v>
      </c>
      <c r="L10" s="31" t="n">
        <f aca="false">COUNTIFS(01_Projects!R:R,B10,01_Projects!P:P,"Closed-Benefits")</f>
        <v>0</v>
      </c>
      <c r="M10" s="31" t="n">
        <f aca="false">COUNTIFS(01_Projects!R:R,B10,01_Projects!P:P,"Cancelled")</f>
        <v>1</v>
      </c>
      <c r="N10" s="33" t="n">
        <f aca="false">SUMIFS(01_Projects!AB:AB,01_Projects!R:R,B10,01_Projects!P:P,"Closed-Benefits")</f>
        <v>0</v>
      </c>
      <c r="O10" s="12" t="s">
        <v>113</v>
      </c>
      <c r="P10" s="12" t="s">
        <v>249</v>
      </c>
    </row>
    <row r="11" customFormat="false" ht="24.75" hidden="false" customHeight="true" outlineLevel="0" collapsed="false">
      <c r="A11" s="14" t="s">
        <v>256</v>
      </c>
      <c r="B11" s="14" t="s">
        <v>183</v>
      </c>
      <c r="C11" s="14" t="s">
        <v>257</v>
      </c>
      <c r="D11" s="14" t="s">
        <v>88</v>
      </c>
      <c r="E11" s="14" t="s">
        <v>258</v>
      </c>
      <c r="F11" s="14" t="s">
        <v>259</v>
      </c>
      <c r="G11" s="14" t="s">
        <v>184</v>
      </c>
      <c r="H11" s="30" t="n">
        <v>45458</v>
      </c>
      <c r="I11" s="30" t="n">
        <v>45636</v>
      </c>
      <c r="J11" s="14" t="s">
        <v>260</v>
      </c>
      <c r="K11" s="31" t="n">
        <f aca="false">COUNTIFS(01_Projects!R:R,B11,01_Projects!P:P,"Active")</f>
        <v>2</v>
      </c>
      <c r="L11" s="31" t="n">
        <f aca="false">COUNTIFS(01_Projects!R:R,B11,01_Projects!P:P,"Closed-Benefits")</f>
        <v>0</v>
      </c>
      <c r="M11" s="31" t="n">
        <f aca="false">COUNTIFS(01_Projects!R:R,B11,01_Projects!P:P,"Cancelled")</f>
        <v>0</v>
      </c>
      <c r="N11" s="39" t="n">
        <f aca="false">SUMIFS(01_Projects!AB:AB,01_Projects!R:R,B11,01_Projects!P:P,"Closed-Benefits")</f>
        <v>0</v>
      </c>
      <c r="O11" s="14" t="s">
        <v>113</v>
      </c>
      <c r="P11" s="14" t="s">
        <v>261</v>
      </c>
    </row>
    <row r="12" customFormat="false" ht="24.75" hidden="false" customHeight="true" outlineLevel="0" collapsed="false">
      <c r="A12" s="12" t="s">
        <v>262</v>
      </c>
      <c r="B12" s="12" t="s">
        <v>194</v>
      </c>
      <c r="C12" s="12" t="s">
        <v>263</v>
      </c>
      <c r="D12" s="12" t="s">
        <v>106</v>
      </c>
      <c r="E12" s="12" t="s">
        <v>264</v>
      </c>
      <c r="F12" s="12" t="s">
        <v>184</v>
      </c>
      <c r="G12" s="12" t="s">
        <v>184</v>
      </c>
      <c r="H12" s="36" t="n">
        <v>45524</v>
      </c>
      <c r="I12" s="36" t="n">
        <v>45702</v>
      </c>
      <c r="J12" s="12" t="s">
        <v>260</v>
      </c>
      <c r="K12" s="31" t="n">
        <f aca="false">COUNTIFS(01_Projects!R:R,B12,01_Projects!P:P,"Active")</f>
        <v>2</v>
      </c>
      <c r="L12" s="31" t="n">
        <f aca="false">COUNTIFS(01_Projects!R:R,B12,01_Projects!P:P,"Closed-Benefits")</f>
        <v>0</v>
      </c>
      <c r="M12" s="31" t="n">
        <f aca="false">COUNTIFS(01_Projects!R:R,B12,01_Projects!P:P,"Cancelled")</f>
        <v>0</v>
      </c>
      <c r="N12" s="39" t="n">
        <f aca="false">SUMIFS(01_Projects!AB:AB,01_Projects!R:R,B12,01_Projects!P:P,"Closed-Benefits")</f>
        <v>0</v>
      </c>
      <c r="O12" s="12" t="s">
        <v>113</v>
      </c>
      <c r="P12" s="12" t="s">
        <v>265</v>
      </c>
    </row>
    <row r="13" customFormat="false" ht="24.75" hidden="false" customHeight="true" outlineLevel="0" collapsed="false">
      <c r="A13" s="14" t="s">
        <v>266</v>
      </c>
      <c r="B13" s="14" t="s">
        <v>204</v>
      </c>
      <c r="C13" s="14" t="s">
        <v>267</v>
      </c>
      <c r="D13" s="14" t="s">
        <v>88</v>
      </c>
      <c r="E13" s="14" t="s">
        <v>121</v>
      </c>
      <c r="F13" s="14" t="s">
        <v>184</v>
      </c>
      <c r="G13" s="14" t="s">
        <v>184</v>
      </c>
      <c r="H13" s="30" t="n">
        <v>45670</v>
      </c>
      <c r="I13" s="30" t="n">
        <v>45860</v>
      </c>
      <c r="J13" s="14" t="s">
        <v>268</v>
      </c>
      <c r="K13" s="31" t="n">
        <f aca="false">COUNTIFS(01_Projects!R:R,B13,01_Projects!P:P,"Active")</f>
        <v>1</v>
      </c>
      <c r="L13" s="31" t="n">
        <f aca="false">COUNTIFS(01_Projects!R:R,B13,01_Projects!P:P,"Closed-Benefits")</f>
        <v>0</v>
      </c>
      <c r="M13" s="31" t="n">
        <f aca="false">COUNTIFS(01_Projects!R:R,B13,01_Projects!P:P,"Cancelled")</f>
        <v>0</v>
      </c>
      <c r="N13" s="39" t="n">
        <f aca="false">SUMIFS(01_Projects!AB:AB,01_Projects!R:R,B13,01_Projects!P:P,"Closed-Benefits")</f>
        <v>0</v>
      </c>
      <c r="O13" s="14" t="s">
        <v>113</v>
      </c>
      <c r="P13" s="14" t="s">
        <v>269</v>
      </c>
    </row>
  </sheetData>
  <dataValidations count="2">
    <dataValidation allowBlank="true" errorStyle="stop" operator="between" showDropDown="false" showErrorMessage="false" showInputMessage="false" sqref="D5:D200" type="list">
      <formula1>Sites</formula1>
      <formula2>0</formula2>
    </dataValidation>
    <dataValidation allowBlank="true" errorStyle="stop" operator="between" showDropDown="false" showErrorMessage="false" showInputMessage="false" sqref="G5:G200" type="list">
      <formula1>BeltLevels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7" min="12" style="1" width="12"/>
    <col collapsed="false" customWidth="true" hidden="false" outlineLevel="0" max="18" min="18" style="1" width="45"/>
  </cols>
  <sheetData>
    <row r="1" customFormat="false" ht="24" hidden="false" customHeight="true" outlineLevel="0" collapsed="false">
      <c r="A1" s="25" t="s">
        <v>270</v>
      </c>
    </row>
    <row r="2" customFormat="false" ht="15" hidden="false" customHeight="true" outlineLevel="0" collapsed="false">
      <c r="A2" s="26" t="s">
        <v>271</v>
      </c>
    </row>
    <row r="4" customFormat="false" ht="37.5" hidden="false" customHeight="true" outlineLevel="0" collapsed="false">
      <c r="A4" s="10" t="s">
        <v>272</v>
      </c>
      <c r="B4" s="10" t="s">
        <v>273</v>
      </c>
      <c r="C4" s="10" t="s">
        <v>274</v>
      </c>
      <c r="D4" s="10" t="s">
        <v>275</v>
      </c>
      <c r="E4" s="10" t="s">
        <v>229</v>
      </c>
      <c r="F4" s="10" t="s">
        <v>276</v>
      </c>
      <c r="G4" s="10" t="s">
        <v>277</v>
      </c>
      <c r="H4" s="10" t="s">
        <v>278</v>
      </c>
      <c r="I4" s="10" t="s">
        <v>279</v>
      </c>
      <c r="J4" s="10" t="s">
        <v>280</v>
      </c>
      <c r="K4" s="10" t="s">
        <v>281</v>
      </c>
      <c r="L4" s="10" t="s">
        <v>282</v>
      </c>
      <c r="M4" s="10" t="s">
        <v>283</v>
      </c>
      <c r="N4" s="10" t="s">
        <v>284</v>
      </c>
      <c r="O4" s="10" t="s">
        <v>285</v>
      </c>
      <c r="P4" s="10" t="s">
        <v>286</v>
      </c>
      <c r="Q4" s="10" t="s">
        <v>287</v>
      </c>
      <c r="R4" s="10" t="s">
        <v>234</v>
      </c>
    </row>
    <row r="5" customFormat="false" ht="34.5" hidden="false" customHeight="true" outlineLevel="0" collapsed="false">
      <c r="A5" s="14" t="s">
        <v>288</v>
      </c>
      <c r="B5" s="30" t="n">
        <v>46034</v>
      </c>
      <c r="C5" s="30" t="n">
        <v>46038</v>
      </c>
      <c r="D5" s="14" t="s">
        <v>99</v>
      </c>
      <c r="E5" s="14" t="s">
        <v>238</v>
      </c>
      <c r="F5" s="14" t="s">
        <v>289</v>
      </c>
      <c r="G5" s="14" t="s">
        <v>290</v>
      </c>
      <c r="H5" s="14" t="s">
        <v>88</v>
      </c>
      <c r="I5" s="14" t="s">
        <v>291</v>
      </c>
      <c r="J5" s="14" t="s">
        <v>292</v>
      </c>
      <c r="K5" s="14" t="n">
        <v>40</v>
      </c>
      <c r="L5" s="14" t="n">
        <v>8</v>
      </c>
      <c r="M5" s="14" t="n">
        <v>6</v>
      </c>
      <c r="N5" s="28" t="n">
        <f aca="false">M5/L5</f>
        <v>0.75</v>
      </c>
      <c r="O5" s="29" t="n">
        <v>1</v>
      </c>
      <c r="P5" s="41" t="n">
        <v>4.6</v>
      </c>
      <c r="Q5" s="32" t="n">
        <v>18000</v>
      </c>
      <c r="R5" s="14" t="s">
        <v>293</v>
      </c>
    </row>
    <row r="6" customFormat="false" ht="34.5" hidden="false" customHeight="true" outlineLevel="0" collapsed="false">
      <c r="A6" s="12" t="s">
        <v>294</v>
      </c>
      <c r="B6" s="36" t="n">
        <v>46073</v>
      </c>
      <c r="C6" s="36" t="n">
        <v>46073</v>
      </c>
      <c r="D6" s="12" t="s">
        <v>295</v>
      </c>
      <c r="E6" s="12" t="s">
        <v>296</v>
      </c>
      <c r="F6" s="12" t="s">
        <v>297</v>
      </c>
      <c r="G6" s="12" t="s">
        <v>298</v>
      </c>
      <c r="H6" s="12" t="s">
        <v>299</v>
      </c>
      <c r="I6" s="12" t="s">
        <v>300</v>
      </c>
      <c r="J6" s="12" t="s">
        <v>301</v>
      </c>
      <c r="K6" s="12" t="n">
        <v>4</v>
      </c>
      <c r="L6" s="12" t="n">
        <v>60</v>
      </c>
      <c r="M6" s="12" t="n">
        <v>48</v>
      </c>
      <c r="N6" s="28" t="n">
        <f aca="false">M6/L6</f>
        <v>0.8</v>
      </c>
      <c r="O6" s="35" t="n">
        <v>0.96</v>
      </c>
      <c r="P6" s="42" t="n">
        <v>4.4</v>
      </c>
      <c r="Q6" s="37" t="n">
        <v>1200</v>
      </c>
      <c r="R6" s="12" t="s">
        <v>302</v>
      </c>
    </row>
    <row r="7" customFormat="false" ht="34.5" hidden="false" customHeight="true" outlineLevel="0" collapsed="false">
      <c r="A7" s="14" t="s">
        <v>303</v>
      </c>
      <c r="B7" s="30" t="n">
        <v>46127</v>
      </c>
      <c r="C7" s="30" t="n">
        <v>46127</v>
      </c>
      <c r="D7" s="14" t="s">
        <v>295</v>
      </c>
      <c r="E7" s="14" t="s">
        <v>304</v>
      </c>
      <c r="F7" s="14" t="s">
        <v>297</v>
      </c>
      <c r="G7" s="14" t="s">
        <v>305</v>
      </c>
      <c r="H7" s="14" t="s">
        <v>299</v>
      </c>
      <c r="I7" s="14" t="s">
        <v>306</v>
      </c>
      <c r="J7" s="14" t="s">
        <v>301</v>
      </c>
      <c r="K7" s="14" t="n">
        <v>4</v>
      </c>
      <c r="L7" s="14" t="n">
        <v>40</v>
      </c>
      <c r="M7" s="14" t="n">
        <v>32</v>
      </c>
      <c r="N7" s="28" t="n">
        <f aca="false">M7/L7</f>
        <v>0.8</v>
      </c>
      <c r="O7" s="29" t="n">
        <v>0.94</v>
      </c>
      <c r="P7" s="41" t="n">
        <v>4.5</v>
      </c>
      <c r="Q7" s="32" t="n">
        <v>1000</v>
      </c>
      <c r="R7" s="14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45"/>
    <col collapsed="false" customWidth="true" hidden="false" outlineLevel="0" max="11" min="11" style="1" width="24"/>
    <col collapsed="false" customWidth="true" hidden="false" outlineLevel="0" max="12" min="12" style="1" width="18"/>
  </cols>
  <sheetData>
    <row r="1" customFormat="false" ht="24" hidden="false" customHeight="true" outlineLevel="0" collapsed="false">
      <c r="A1" s="25" t="s">
        <v>308</v>
      </c>
    </row>
    <row r="2" customFormat="false" ht="15" hidden="false" customHeight="true" outlineLevel="0" collapsed="false">
      <c r="A2" s="26" t="s">
        <v>309</v>
      </c>
    </row>
    <row r="4" customFormat="false" ht="37.5" hidden="false" customHeight="true" outlineLevel="0" collapsed="false">
      <c r="A4" s="10" t="s">
        <v>310</v>
      </c>
      <c r="B4" s="10" t="s">
        <v>53</v>
      </c>
      <c r="C4" s="10" t="s">
        <v>311</v>
      </c>
      <c r="D4" s="10" t="s">
        <v>312</v>
      </c>
      <c r="E4" s="10" t="s">
        <v>313</v>
      </c>
      <c r="F4" s="10" t="s">
        <v>314</v>
      </c>
      <c r="G4" s="10" t="s">
        <v>315</v>
      </c>
      <c r="H4" s="10" t="s">
        <v>316</v>
      </c>
      <c r="I4" s="10" t="s">
        <v>234</v>
      </c>
      <c r="K4" s="6" t="s">
        <v>317</v>
      </c>
      <c r="L4" s="43" t="n">
        <f aca="false">SUMIFS(E:E,F:F,"Actual",G:G,"Yes")</f>
        <v>30834</v>
      </c>
    </row>
    <row r="5" customFormat="false" ht="17.25" hidden="false" customHeight="true" outlineLevel="0" collapsed="false">
      <c r="A5" s="14" t="s">
        <v>318</v>
      </c>
      <c r="B5" s="14" t="s">
        <v>86</v>
      </c>
      <c r="C5" s="44" t="n">
        <v>46113</v>
      </c>
      <c r="D5" s="14" t="s">
        <v>319</v>
      </c>
      <c r="E5" s="32" t="n">
        <v>15417</v>
      </c>
      <c r="F5" s="14" t="s">
        <v>320</v>
      </c>
      <c r="G5" s="14" t="s">
        <v>102</v>
      </c>
      <c r="H5" s="44" t="n">
        <v>46113</v>
      </c>
      <c r="I5" s="14" t="s">
        <v>321</v>
      </c>
      <c r="K5" s="6" t="s">
        <v>322</v>
      </c>
      <c r="L5" s="43" t="n">
        <f aca="false">SUMIFS(E:E,F:F,"Plan")</f>
        <v>154170</v>
      </c>
    </row>
    <row r="6" customFormat="false" ht="17.25" hidden="false" customHeight="true" outlineLevel="0" collapsed="false">
      <c r="A6" s="12" t="s">
        <v>323</v>
      </c>
      <c r="B6" s="12" t="s">
        <v>86</v>
      </c>
      <c r="C6" s="45" t="n">
        <v>46143</v>
      </c>
      <c r="D6" s="12" t="s">
        <v>319</v>
      </c>
      <c r="E6" s="37" t="n">
        <v>15417</v>
      </c>
      <c r="F6" s="12" t="s">
        <v>320</v>
      </c>
      <c r="G6" s="12" t="s">
        <v>102</v>
      </c>
      <c r="H6" s="45" t="n">
        <v>46143</v>
      </c>
      <c r="I6" s="12" t="s">
        <v>324</v>
      </c>
      <c r="K6" s="6" t="s">
        <v>325</v>
      </c>
      <c r="L6" s="46" t="n">
        <f aca="false">L4+L5</f>
        <v>185004</v>
      </c>
    </row>
    <row r="7" customFormat="false" ht="15" hidden="false" customHeight="true" outlineLevel="0" collapsed="false">
      <c r="A7" s="14" t="s">
        <v>326</v>
      </c>
      <c r="B7" s="14" t="s">
        <v>86</v>
      </c>
      <c r="C7" s="44" t="n">
        <v>46174</v>
      </c>
      <c r="D7" s="14" t="s">
        <v>319</v>
      </c>
      <c r="E7" s="32" t="n">
        <v>15417</v>
      </c>
      <c r="F7" s="14" t="s">
        <v>327</v>
      </c>
      <c r="G7" s="14" t="s">
        <v>117</v>
      </c>
      <c r="H7" s="44"/>
      <c r="I7" s="14" t="s">
        <v>328</v>
      </c>
    </row>
    <row r="8" customFormat="false" ht="15" hidden="false" customHeight="true" outlineLevel="0" collapsed="false">
      <c r="A8" s="12" t="s">
        <v>329</v>
      </c>
      <c r="B8" s="12" t="s">
        <v>86</v>
      </c>
      <c r="C8" s="45" t="n">
        <v>46204</v>
      </c>
      <c r="D8" s="12" t="s">
        <v>319</v>
      </c>
      <c r="E8" s="37" t="n">
        <v>15417</v>
      </c>
      <c r="F8" s="12" t="s">
        <v>327</v>
      </c>
      <c r="G8" s="12" t="s">
        <v>117</v>
      </c>
      <c r="H8" s="45"/>
      <c r="I8" s="12" t="s">
        <v>330</v>
      </c>
    </row>
    <row r="9" customFormat="false" ht="15" hidden="false" customHeight="true" outlineLevel="0" collapsed="false">
      <c r="A9" s="14" t="s">
        <v>331</v>
      </c>
      <c r="B9" s="14" t="s">
        <v>86</v>
      </c>
      <c r="C9" s="44" t="n">
        <v>46235</v>
      </c>
      <c r="D9" s="14" t="s">
        <v>319</v>
      </c>
      <c r="E9" s="32" t="n">
        <v>15417</v>
      </c>
      <c r="F9" s="14" t="s">
        <v>327</v>
      </c>
      <c r="G9" s="14" t="s">
        <v>117</v>
      </c>
      <c r="H9" s="44"/>
      <c r="I9" s="14" t="s">
        <v>332</v>
      </c>
    </row>
    <row r="10" customFormat="false" ht="15" hidden="false" customHeight="true" outlineLevel="0" collapsed="false">
      <c r="A10" s="12" t="s">
        <v>333</v>
      </c>
      <c r="B10" s="12" t="s">
        <v>86</v>
      </c>
      <c r="C10" s="45" t="n">
        <v>46266</v>
      </c>
      <c r="D10" s="12" t="s">
        <v>319</v>
      </c>
      <c r="E10" s="37" t="n">
        <v>15417</v>
      </c>
      <c r="F10" s="12" t="s">
        <v>327</v>
      </c>
      <c r="G10" s="12" t="s">
        <v>117</v>
      </c>
      <c r="H10" s="45"/>
      <c r="I10" s="12" t="s">
        <v>334</v>
      </c>
    </row>
    <row r="11" customFormat="false" ht="15" hidden="false" customHeight="true" outlineLevel="0" collapsed="false">
      <c r="A11" s="14" t="s">
        <v>335</v>
      </c>
      <c r="B11" s="14" t="s">
        <v>86</v>
      </c>
      <c r="C11" s="44" t="n">
        <v>46296</v>
      </c>
      <c r="D11" s="14" t="s">
        <v>319</v>
      </c>
      <c r="E11" s="32" t="n">
        <v>15417</v>
      </c>
      <c r="F11" s="14" t="s">
        <v>327</v>
      </c>
      <c r="G11" s="14" t="s">
        <v>117</v>
      </c>
      <c r="H11" s="44"/>
      <c r="I11" s="14" t="s">
        <v>336</v>
      </c>
    </row>
    <row r="12" customFormat="false" ht="15" hidden="false" customHeight="true" outlineLevel="0" collapsed="false">
      <c r="A12" s="12" t="s">
        <v>337</v>
      </c>
      <c r="B12" s="12" t="s">
        <v>86</v>
      </c>
      <c r="C12" s="45" t="n">
        <v>46327</v>
      </c>
      <c r="D12" s="12" t="s">
        <v>319</v>
      </c>
      <c r="E12" s="37" t="n">
        <v>15417</v>
      </c>
      <c r="F12" s="12" t="s">
        <v>327</v>
      </c>
      <c r="G12" s="12" t="s">
        <v>117</v>
      </c>
      <c r="H12" s="45"/>
      <c r="I12" s="12" t="s">
        <v>338</v>
      </c>
    </row>
    <row r="13" customFormat="false" ht="15" hidden="false" customHeight="true" outlineLevel="0" collapsed="false">
      <c r="A13" s="14" t="s">
        <v>339</v>
      </c>
      <c r="B13" s="14" t="s">
        <v>86</v>
      </c>
      <c r="C13" s="44" t="n">
        <v>46357</v>
      </c>
      <c r="D13" s="14" t="s">
        <v>319</v>
      </c>
      <c r="E13" s="32" t="n">
        <v>15417</v>
      </c>
      <c r="F13" s="14" t="s">
        <v>327</v>
      </c>
      <c r="G13" s="14" t="s">
        <v>117</v>
      </c>
      <c r="H13" s="44"/>
      <c r="I13" s="14" t="s">
        <v>340</v>
      </c>
    </row>
    <row r="14" customFormat="false" ht="15" hidden="false" customHeight="true" outlineLevel="0" collapsed="false">
      <c r="A14" s="12" t="s">
        <v>341</v>
      </c>
      <c r="B14" s="12" t="s">
        <v>86</v>
      </c>
      <c r="C14" s="45" t="n">
        <v>46388</v>
      </c>
      <c r="D14" s="12" t="s">
        <v>319</v>
      </c>
      <c r="E14" s="37" t="n">
        <v>15417</v>
      </c>
      <c r="F14" s="12" t="s">
        <v>327</v>
      </c>
      <c r="G14" s="12" t="s">
        <v>117</v>
      </c>
      <c r="H14" s="45"/>
      <c r="I14" s="12" t="s">
        <v>342</v>
      </c>
    </row>
    <row r="15" customFormat="false" ht="15" hidden="false" customHeight="true" outlineLevel="0" collapsed="false">
      <c r="A15" s="14" t="s">
        <v>343</v>
      </c>
      <c r="B15" s="14" t="s">
        <v>86</v>
      </c>
      <c r="C15" s="44" t="n">
        <v>46419</v>
      </c>
      <c r="D15" s="14" t="s">
        <v>319</v>
      </c>
      <c r="E15" s="32" t="n">
        <v>15417</v>
      </c>
      <c r="F15" s="14" t="s">
        <v>327</v>
      </c>
      <c r="G15" s="14" t="s">
        <v>117</v>
      </c>
      <c r="H15" s="44"/>
      <c r="I15" s="14" t="s">
        <v>344</v>
      </c>
    </row>
    <row r="16" customFormat="false" ht="15" hidden="false" customHeight="true" outlineLevel="0" collapsed="false">
      <c r="A16" s="12" t="s">
        <v>345</v>
      </c>
      <c r="B16" s="12" t="s">
        <v>86</v>
      </c>
      <c r="C16" s="45" t="n">
        <v>46447</v>
      </c>
      <c r="D16" s="12" t="s">
        <v>319</v>
      </c>
      <c r="E16" s="37" t="n">
        <v>15417</v>
      </c>
      <c r="F16" s="12" t="s">
        <v>327</v>
      </c>
      <c r="G16" s="12" t="s">
        <v>117</v>
      </c>
      <c r="H16" s="45"/>
      <c r="I16" s="12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32"/>
    <col collapsed="false" customWidth="true" hidden="false" outlineLevel="0" max="6" min="6" style="1" width="50"/>
    <col collapsed="false" customWidth="true" hidden="false" outlineLevel="0" max="8" min="7" style="1" width="14"/>
    <col collapsed="false" customWidth="true" hidden="false" outlineLevel="0" max="11" min="9" style="1" width="10"/>
    <col collapsed="false" customWidth="true" hidden="false" outlineLevel="0" max="13" min="12" style="1" width="14"/>
    <col collapsed="false" customWidth="true" hidden="false" outlineLevel="0" max="14" min="14" style="1" width="12"/>
    <col collapsed="false" customWidth="true" hidden="false" outlineLevel="0" max="15" min="15" style="1" width="16"/>
    <col collapsed="false" customWidth="true" hidden="false" outlineLevel="0" max="16" min="16" style="1" width="40"/>
  </cols>
  <sheetData>
    <row r="1" customFormat="false" ht="24" hidden="false" customHeight="true" outlineLevel="0" collapsed="false">
      <c r="A1" s="25" t="s">
        <v>347</v>
      </c>
    </row>
    <row r="2" customFormat="false" ht="15" hidden="false" customHeight="true" outlineLevel="0" collapsed="false">
      <c r="A2" s="26" t="s">
        <v>348</v>
      </c>
    </row>
    <row r="4" customFormat="false" ht="37.5" hidden="false" customHeight="true" outlineLevel="0" collapsed="false">
      <c r="A4" s="10" t="s">
        <v>349</v>
      </c>
      <c r="B4" s="10" t="s">
        <v>350</v>
      </c>
      <c r="C4" s="10" t="s">
        <v>351</v>
      </c>
      <c r="D4" s="10" t="s">
        <v>55</v>
      </c>
      <c r="E4" s="10" t="s">
        <v>352</v>
      </c>
      <c r="F4" s="10" t="s">
        <v>353</v>
      </c>
      <c r="G4" s="10" t="s">
        <v>57</v>
      </c>
      <c r="H4" s="10" t="s">
        <v>354</v>
      </c>
      <c r="I4" s="10" t="s">
        <v>355</v>
      </c>
      <c r="J4" s="10" t="s">
        <v>356</v>
      </c>
      <c r="K4" s="10" t="s">
        <v>357</v>
      </c>
      <c r="L4" s="10" t="s">
        <v>358</v>
      </c>
      <c r="M4" s="10" t="s">
        <v>68</v>
      </c>
      <c r="N4" s="10" t="s">
        <v>359</v>
      </c>
      <c r="O4" s="10" t="s">
        <v>360</v>
      </c>
      <c r="P4" s="10" t="s">
        <v>234</v>
      </c>
    </row>
    <row r="5" customFormat="false" ht="45" hidden="false" customHeight="true" outlineLevel="0" collapsed="false">
      <c r="A5" s="14" t="s">
        <v>361</v>
      </c>
      <c r="B5" s="30" t="n">
        <v>46058</v>
      </c>
      <c r="C5" s="14" t="s">
        <v>362</v>
      </c>
      <c r="D5" s="14" t="s">
        <v>88</v>
      </c>
      <c r="E5" s="14" t="s">
        <v>363</v>
      </c>
      <c r="F5" s="14" t="s">
        <v>364</v>
      </c>
      <c r="G5" s="14" t="s">
        <v>90</v>
      </c>
      <c r="H5" s="32" t="n">
        <v>35000</v>
      </c>
      <c r="I5" s="14" t="n">
        <v>4</v>
      </c>
      <c r="J5" s="14" t="s">
        <v>365</v>
      </c>
      <c r="K5" s="47" t="n">
        <f aca="false">IFERROR(I5/IF(J5="Low",1,IF(J5="Med",3,5)),0)</f>
        <v>4</v>
      </c>
      <c r="L5" s="14" t="s">
        <v>366</v>
      </c>
      <c r="M5" s="14" t="s">
        <v>367</v>
      </c>
      <c r="N5" s="30" t="n">
        <v>46073</v>
      </c>
      <c r="O5" s="14"/>
      <c r="P5" s="14" t="s">
        <v>368</v>
      </c>
    </row>
    <row r="6" customFormat="false" ht="45" hidden="false" customHeight="true" outlineLevel="0" collapsed="false">
      <c r="A6" s="12" t="s">
        <v>369</v>
      </c>
      <c r="B6" s="36" t="n">
        <v>46063</v>
      </c>
      <c r="C6" s="12" t="s">
        <v>370</v>
      </c>
      <c r="D6" s="12" t="s">
        <v>134</v>
      </c>
      <c r="E6" s="12" t="s">
        <v>371</v>
      </c>
      <c r="F6" s="12" t="s">
        <v>372</v>
      </c>
      <c r="G6" s="12" t="s">
        <v>90</v>
      </c>
      <c r="H6" s="37" t="n">
        <v>80000</v>
      </c>
      <c r="I6" s="12" t="n">
        <v>4</v>
      </c>
      <c r="J6" s="12" t="s">
        <v>373</v>
      </c>
      <c r="K6" s="47" t="n">
        <f aca="false">IFERROR(I6/IF(J6="Low",1,IF(J6="Med",3,5)),0)</f>
        <v>1.33333333333333</v>
      </c>
      <c r="L6" s="12" t="s">
        <v>374</v>
      </c>
      <c r="M6" s="12" t="s">
        <v>375</v>
      </c>
      <c r="N6" s="36"/>
      <c r="O6" s="12"/>
      <c r="P6" s="12" t="s">
        <v>376</v>
      </c>
    </row>
    <row r="7" customFormat="false" ht="45" hidden="false" customHeight="true" outlineLevel="0" collapsed="false">
      <c r="A7" s="14" t="s">
        <v>377</v>
      </c>
      <c r="B7" s="30" t="n">
        <v>46068</v>
      </c>
      <c r="C7" s="14" t="s">
        <v>378</v>
      </c>
      <c r="D7" s="14" t="s">
        <v>106</v>
      </c>
      <c r="E7" s="14" t="s">
        <v>379</v>
      </c>
      <c r="F7" s="14" t="s">
        <v>380</v>
      </c>
      <c r="G7" s="14" t="s">
        <v>381</v>
      </c>
      <c r="H7" s="32" t="n">
        <v>0</v>
      </c>
      <c r="I7" s="14" t="n">
        <v>3</v>
      </c>
      <c r="J7" s="14" t="s">
        <v>365</v>
      </c>
      <c r="K7" s="47" t="n">
        <f aca="false">IFERROR(I7/IF(J7="Low",1,IF(J7="Med",3,5)),0)</f>
        <v>3</v>
      </c>
      <c r="L7" s="14" t="s">
        <v>382</v>
      </c>
      <c r="M7" s="14" t="s">
        <v>367</v>
      </c>
      <c r="N7" s="30" t="n">
        <v>46081</v>
      </c>
      <c r="O7" s="14"/>
      <c r="P7" s="14" t="s">
        <v>383</v>
      </c>
    </row>
    <row r="8" customFormat="false" ht="45" hidden="false" customHeight="true" outlineLevel="0" collapsed="false">
      <c r="A8" s="12" t="s">
        <v>384</v>
      </c>
      <c r="B8" s="36" t="n">
        <v>46082</v>
      </c>
      <c r="C8" s="12" t="s">
        <v>385</v>
      </c>
      <c r="D8" s="12" t="s">
        <v>88</v>
      </c>
      <c r="E8" s="12" t="s">
        <v>386</v>
      </c>
      <c r="F8" s="12" t="s">
        <v>387</v>
      </c>
      <c r="G8" s="12" t="s">
        <v>178</v>
      </c>
      <c r="H8" s="37" t="n">
        <v>250000</v>
      </c>
      <c r="I8" s="12" t="n">
        <v>5</v>
      </c>
      <c r="J8" s="12" t="s">
        <v>388</v>
      </c>
      <c r="K8" s="47" t="n">
        <f aca="false">IFERROR(I8/IF(J8="Low",1,IF(J8="Med",3,5)),0)</f>
        <v>1</v>
      </c>
      <c r="L8" s="12" t="s">
        <v>374</v>
      </c>
      <c r="M8" s="12" t="s">
        <v>375</v>
      </c>
      <c r="N8" s="36"/>
      <c r="O8" s="12"/>
      <c r="P8" s="12" t="s">
        <v>389</v>
      </c>
    </row>
    <row r="9" customFormat="false" ht="45" hidden="false" customHeight="true" outlineLevel="0" collapsed="false">
      <c r="A9" s="14" t="s">
        <v>390</v>
      </c>
      <c r="B9" s="30" t="n">
        <v>46088</v>
      </c>
      <c r="C9" s="14" t="s">
        <v>391</v>
      </c>
      <c r="D9" s="14" t="s">
        <v>392</v>
      </c>
      <c r="E9" s="14" t="s">
        <v>393</v>
      </c>
      <c r="F9" s="14" t="s">
        <v>394</v>
      </c>
      <c r="G9" s="14" t="s">
        <v>122</v>
      </c>
      <c r="H9" s="32" t="n">
        <v>45000</v>
      </c>
      <c r="I9" s="14" t="n">
        <v>4</v>
      </c>
      <c r="J9" s="14" t="s">
        <v>365</v>
      </c>
      <c r="K9" s="47" t="n">
        <f aca="false">IFERROR(I9/IF(J9="Low",1,IF(J9="Med",3,5)),0)</f>
        <v>4</v>
      </c>
      <c r="L9" s="14" t="s">
        <v>366</v>
      </c>
      <c r="M9" s="14" t="s">
        <v>367</v>
      </c>
      <c r="N9" s="30" t="n">
        <v>46101</v>
      </c>
      <c r="O9" s="14"/>
      <c r="P9" s="14" t="s">
        <v>395</v>
      </c>
    </row>
    <row r="10" customFormat="false" ht="45" hidden="false" customHeight="true" outlineLevel="0" collapsed="false">
      <c r="A10" s="12" t="s">
        <v>396</v>
      </c>
      <c r="B10" s="36" t="n">
        <v>46093</v>
      </c>
      <c r="C10" s="12" t="s">
        <v>397</v>
      </c>
      <c r="D10" s="12" t="s">
        <v>398</v>
      </c>
      <c r="E10" s="12" t="s">
        <v>399</v>
      </c>
      <c r="F10" s="12" t="s">
        <v>400</v>
      </c>
      <c r="G10" s="12" t="s">
        <v>122</v>
      </c>
      <c r="H10" s="37" t="n">
        <v>120000</v>
      </c>
      <c r="I10" s="12" t="n">
        <v>5</v>
      </c>
      <c r="J10" s="12" t="s">
        <v>373</v>
      </c>
      <c r="K10" s="47" t="n">
        <f aca="false">IFERROR(I10/IF(J10="Low",1,IF(J10="Med",3,5)),0)</f>
        <v>1.66666666666667</v>
      </c>
      <c r="L10" s="12" t="s">
        <v>374</v>
      </c>
      <c r="M10" s="12" t="s">
        <v>401</v>
      </c>
      <c r="N10" s="36"/>
      <c r="O10" s="12"/>
      <c r="P10" s="12" t="s">
        <v>402</v>
      </c>
    </row>
    <row r="11" customFormat="false" ht="45" hidden="false" customHeight="true" outlineLevel="0" collapsed="false">
      <c r="A11" s="14" t="s">
        <v>403</v>
      </c>
      <c r="B11" s="30" t="n">
        <v>46099</v>
      </c>
      <c r="C11" s="14" t="s">
        <v>404</v>
      </c>
      <c r="D11" s="14" t="s">
        <v>106</v>
      </c>
      <c r="E11" s="14" t="s">
        <v>405</v>
      </c>
      <c r="F11" s="14" t="s">
        <v>406</v>
      </c>
      <c r="G11" s="14" t="s">
        <v>178</v>
      </c>
      <c r="H11" s="32" t="n">
        <v>0</v>
      </c>
      <c r="I11" s="14" t="n">
        <v>3</v>
      </c>
      <c r="J11" s="14" t="s">
        <v>373</v>
      </c>
      <c r="K11" s="47" t="n">
        <f aca="false">IFERROR(I11/IF(J11="Low",1,IF(J11="Med",3,5)),0)</f>
        <v>1</v>
      </c>
      <c r="L11" s="14" t="s">
        <v>407</v>
      </c>
      <c r="M11" s="14" t="s">
        <v>375</v>
      </c>
      <c r="N11" s="30"/>
      <c r="O11" s="14"/>
      <c r="P11" s="14" t="s">
        <v>408</v>
      </c>
    </row>
    <row r="12" customFormat="false" ht="45" hidden="false" customHeight="true" outlineLevel="0" collapsed="false">
      <c r="A12" s="12" t="s">
        <v>409</v>
      </c>
      <c r="B12" s="36" t="n">
        <v>46106</v>
      </c>
      <c r="C12" s="12" t="s">
        <v>410</v>
      </c>
      <c r="D12" s="12" t="s">
        <v>411</v>
      </c>
      <c r="E12" s="12" t="s">
        <v>412</v>
      </c>
      <c r="F12" s="12" t="s">
        <v>413</v>
      </c>
      <c r="G12" s="12" t="s">
        <v>136</v>
      </c>
      <c r="H12" s="37" t="n">
        <v>25000</v>
      </c>
      <c r="I12" s="12" t="n">
        <v>3</v>
      </c>
      <c r="J12" s="12" t="s">
        <v>365</v>
      </c>
      <c r="K12" s="47" t="n">
        <f aca="false">IFERROR(I12/IF(J12="Low",1,IF(J12="Med",3,5)),0)</f>
        <v>3</v>
      </c>
      <c r="L12" s="12" t="s">
        <v>382</v>
      </c>
      <c r="M12" s="12" t="s">
        <v>367</v>
      </c>
      <c r="N12" s="36" t="n">
        <v>46117</v>
      </c>
      <c r="O12" s="12"/>
      <c r="P12" s="12" t="s">
        <v>414</v>
      </c>
    </row>
    <row r="13" customFormat="false" ht="45" hidden="false" customHeight="true" outlineLevel="0" collapsed="false">
      <c r="A13" s="14" t="s">
        <v>415</v>
      </c>
      <c r="B13" s="30" t="n">
        <v>46114</v>
      </c>
      <c r="C13" s="14" t="s">
        <v>416</v>
      </c>
      <c r="D13" s="14" t="s">
        <v>151</v>
      </c>
      <c r="E13" s="14" t="s">
        <v>417</v>
      </c>
      <c r="F13" s="14" t="s">
        <v>418</v>
      </c>
      <c r="G13" s="14" t="s">
        <v>90</v>
      </c>
      <c r="H13" s="32" t="n">
        <v>0</v>
      </c>
      <c r="I13" s="14" t="n">
        <v>4</v>
      </c>
      <c r="J13" s="14" t="s">
        <v>388</v>
      </c>
      <c r="K13" s="47" t="n">
        <f aca="false">IFERROR(I13/IF(J13="Low",1,IF(J13="Med",3,5)),0)</f>
        <v>0.8</v>
      </c>
      <c r="L13" s="14" t="s">
        <v>407</v>
      </c>
      <c r="M13" s="14" t="s">
        <v>401</v>
      </c>
      <c r="N13" s="30"/>
      <c r="O13" s="14"/>
      <c r="P13" s="14" t="s">
        <v>419</v>
      </c>
    </row>
    <row r="14" customFormat="false" ht="45" hidden="false" customHeight="true" outlineLevel="0" collapsed="false">
      <c r="A14" s="12" t="s">
        <v>420</v>
      </c>
      <c r="B14" s="36" t="n">
        <v>46124</v>
      </c>
      <c r="C14" s="12" t="s">
        <v>421</v>
      </c>
      <c r="D14" s="12" t="s">
        <v>422</v>
      </c>
      <c r="E14" s="12" t="s">
        <v>423</v>
      </c>
      <c r="F14" s="12" t="s">
        <v>424</v>
      </c>
      <c r="G14" s="12" t="s">
        <v>136</v>
      </c>
      <c r="H14" s="37" t="n">
        <v>90000</v>
      </c>
      <c r="I14" s="12" t="n">
        <v>4</v>
      </c>
      <c r="J14" s="12" t="s">
        <v>373</v>
      </c>
      <c r="K14" s="47" t="n">
        <f aca="false">IFERROR(I14/IF(J14="Low",1,IF(J14="Med",3,5)),0)</f>
        <v>1.33333333333333</v>
      </c>
      <c r="L14" s="12" t="s">
        <v>374</v>
      </c>
      <c r="M14" s="12" t="s">
        <v>375</v>
      </c>
      <c r="N14" s="36"/>
      <c r="O14" s="12"/>
      <c r="P14" s="12" t="s">
        <v>425</v>
      </c>
    </row>
  </sheetData>
  <dataValidations count="3">
    <dataValidation allowBlank="true" errorStyle="stop" operator="between" showDropDown="false" showErrorMessage="false" showInputMessage="false" sqref="D5:D200" type="list">
      <formula1>Sites</formula1>
      <formula2>0</formula2>
    </dataValidation>
    <dataValidation allowBlank="true" errorStyle="stop" operator="between" showDropDown="false" showErrorMessage="false" showInputMessage="false" sqref="G5:G200" type="list">
      <formula1>Pillars</formula1>
      <formula2>0</formula2>
    </dataValidation>
    <dataValidation allowBlank="true" errorStyle="stop" operator="between" showDropDown="false" showErrorMessage="false" showInputMessage="false" sqref="J5:J200" type="list">
      <formula1>"Low,Med,High"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8" min="7" style="1" width="2"/>
    <col collapsed="false" customWidth="true" hidden="false" outlineLevel="0" max="9" min="9" style="1" width="22"/>
    <col collapsed="false" customWidth="true" hidden="false" outlineLevel="0" max="10" min="10" style="1" width="2"/>
    <col collapsed="false" customWidth="true" hidden="false" outlineLevel="0" max="11" min="11" style="1" width="22"/>
    <col collapsed="false" customWidth="true" hidden="false" outlineLevel="0" max="12" min="12" style="1" width="2"/>
    <col collapsed="false" customWidth="true" hidden="false" outlineLevel="0" max="13" min="13" style="1" width="18"/>
    <col collapsed="false" customWidth="true" hidden="false" outlineLevel="0" max="14" min="14" style="1" width="2"/>
    <col collapsed="false" customWidth="true" hidden="false" outlineLevel="0" max="15" min="15" style="1" width="22"/>
    <col collapsed="false" customWidth="true" hidden="false" outlineLevel="0" max="16" min="16" style="1" width="2"/>
    <col collapsed="false" customWidth="true" hidden="false" outlineLevel="0" max="17" min="17" style="1" width="22"/>
    <col collapsed="false" customWidth="true" hidden="false" outlineLevel="0" max="18" min="18" style="1" width="2"/>
    <col collapsed="false" customWidth="true" hidden="false" outlineLevel="0" max="19" min="19" style="1" width="38"/>
    <col collapsed="false" customWidth="true" hidden="false" outlineLevel="0" max="22" min="20" style="1" width="2"/>
    <col collapsed="false" customWidth="true" hidden="false" outlineLevel="0" max="23" min="23" style="1" width="12"/>
  </cols>
  <sheetData>
    <row r="2" customFormat="false" ht="24" hidden="false" customHeight="true" outlineLevel="0" collapsed="false">
      <c r="B2" s="25" t="s">
        <v>426</v>
      </c>
    </row>
    <row r="3" customFormat="false" ht="15" hidden="false" customHeight="true" outlineLevel="0" collapsed="false">
      <c r="B3" s="26" t="s">
        <v>427</v>
      </c>
    </row>
    <row r="5" customFormat="false" ht="15" hidden="false" customHeight="true" outlineLevel="0" collapsed="false">
      <c r="B5" s="8" t="s">
        <v>428</v>
      </c>
      <c r="I5" s="8" t="s">
        <v>429</v>
      </c>
      <c r="K5" s="8" t="s">
        <v>430</v>
      </c>
      <c r="M5" s="8" t="s">
        <v>431</v>
      </c>
      <c r="O5" s="8" t="s">
        <v>432</v>
      </c>
      <c r="Q5" s="8" t="s">
        <v>433</v>
      </c>
      <c r="S5" s="8" t="s">
        <v>434</v>
      </c>
      <c r="W5" s="8" t="s">
        <v>435</v>
      </c>
    </row>
    <row r="6" customFormat="false" ht="15" hidden="false" customHeight="true" outlineLevel="0" collapsed="false">
      <c r="B6" s="10" t="s">
        <v>436</v>
      </c>
      <c r="C6" s="10" t="s">
        <v>437</v>
      </c>
      <c r="D6" s="10" t="s">
        <v>438</v>
      </c>
      <c r="E6" s="10" t="s">
        <v>11</v>
      </c>
      <c r="F6" s="10" t="s">
        <v>439</v>
      </c>
      <c r="I6" s="10" t="s">
        <v>440</v>
      </c>
      <c r="K6" s="10" t="s">
        <v>441</v>
      </c>
      <c r="M6" s="10" t="s">
        <v>442</v>
      </c>
      <c r="O6" s="10" t="s">
        <v>68</v>
      </c>
      <c r="Q6" s="10" t="s">
        <v>71</v>
      </c>
      <c r="S6" s="10" t="s">
        <v>443</v>
      </c>
      <c r="W6" s="10" t="s">
        <v>444</v>
      </c>
    </row>
    <row r="7" customFormat="false" ht="23.25" hidden="false" customHeight="true" outlineLevel="0" collapsed="false">
      <c r="B7" s="14" t="s">
        <v>88</v>
      </c>
      <c r="C7" s="14" t="s">
        <v>445</v>
      </c>
      <c r="D7" s="14" t="s">
        <v>446</v>
      </c>
      <c r="E7" s="14" t="s">
        <v>447</v>
      </c>
      <c r="F7" s="14" t="s">
        <v>448</v>
      </c>
      <c r="I7" s="14" t="s">
        <v>381</v>
      </c>
      <c r="K7" s="14" t="s">
        <v>91</v>
      </c>
      <c r="M7" s="14" t="s">
        <v>141</v>
      </c>
      <c r="O7" s="14" t="s">
        <v>449</v>
      </c>
      <c r="Q7" s="14" t="s">
        <v>450</v>
      </c>
      <c r="S7" s="14" t="s">
        <v>147</v>
      </c>
      <c r="W7" s="14" t="s">
        <v>102</v>
      </c>
    </row>
    <row r="8" customFormat="false" ht="23.25" hidden="false" customHeight="true" outlineLevel="0" collapsed="false">
      <c r="B8" s="12" t="s">
        <v>134</v>
      </c>
      <c r="C8" s="12" t="s">
        <v>451</v>
      </c>
      <c r="D8" s="12" t="s">
        <v>446</v>
      </c>
      <c r="E8" s="12" t="s">
        <v>447</v>
      </c>
      <c r="F8" s="12" t="s">
        <v>452</v>
      </c>
      <c r="I8" s="12" t="s">
        <v>136</v>
      </c>
      <c r="K8" s="12" t="s">
        <v>179</v>
      </c>
      <c r="M8" s="12" t="s">
        <v>157</v>
      </c>
      <c r="O8" s="12" t="s">
        <v>113</v>
      </c>
      <c r="Q8" s="12" t="s">
        <v>295</v>
      </c>
      <c r="S8" s="12" t="s">
        <v>161</v>
      </c>
      <c r="W8" s="12" t="s">
        <v>453</v>
      </c>
    </row>
    <row r="9" customFormat="false" ht="23.25" hidden="false" customHeight="true" outlineLevel="0" collapsed="false">
      <c r="B9" s="14" t="s">
        <v>106</v>
      </c>
      <c r="C9" s="14" t="s">
        <v>454</v>
      </c>
      <c r="D9" s="14" t="s">
        <v>446</v>
      </c>
      <c r="E9" s="14" t="s">
        <v>447</v>
      </c>
      <c r="F9" s="14" t="s">
        <v>455</v>
      </c>
      <c r="I9" s="14" t="s">
        <v>90</v>
      </c>
      <c r="K9" s="14" t="s">
        <v>456</v>
      </c>
      <c r="M9" s="14" t="s">
        <v>127</v>
      </c>
      <c r="O9" s="14" t="s">
        <v>457</v>
      </c>
      <c r="Q9" s="14" t="s">
        <v>99</v>
      </c>
      <c r="S9" s="14" t="s">
        <v>458</v>
      </c>
      <c r="W9" s="14" t="s">
        <v>117</v>
      </c>
    </row>
    <row r="10" customFormat="false" ht="23.25" hidden="false" customHeight="true" outlineLevel="0" collapsed="false">
      <c r="B10" s="12" t="s">
        <v>422</v>
      </c>
      <c r="C10" s="12" t="s">
        <v>459</v>
      </c>
      <c r="D10" s="12" t="s">
        <v>460</v>
      </c>
      <c r="E10" s="12" t="s">
        <v>447</v>
      </c>
      <c r="F10" s="12" t="s">
        <v>461</v>
      </c>
      <c r="I10" s="12" t="s">
        <v>122</v>
      </c>
      <c r="K10" s="12" t="s">
        <v>462</v>
      </c>
      <c r="M10" s="12" t="s">
        <v>112</v>
      </c>
      <c r="O10" s="12" t="s">
        <v>142</v>
      </c>
      <c r="Q10" s="12" t="s">
        <v>184</v>
      </c>
      <c r="S10" s="12" t="s">
        <v>463</v>
      </c>
      <c r="W10" s="12" t="s">
        <v>146</v>
      </c>
    </row>
    <row r="11" customFormat="false" ht="23.25" hidden="false" customHeight="true" outlineLevel="0" collapsed="false">
      <c r="B11" s="14" t="s">
        <v>398</v>
      </c>
      <c r="C11" s="14" t="s">
        <v>464</v>
      </c>
      <c r="D11" s="14" t="s">
        <v>460</v>
      </c>
      <c r="E11" s="14" t="s">
        <v>447</v>
      </c>
      <c r="F11" s="14" t="s">
        <v>465</v>
      </c>
      <c r="I11" s="14" t="s">
        <v>466</v>
      </c>
      <c r="K11" s="14" t="s">
        <v>467</v>
      </c>
      <c r="M11" s="14" t="s">
        <v>468</v>
      </c>
      <c r="O11" s="14" t="s">
        <v>97</v>
      </c>
      <c r="Q11" s="14" t="s">
        <v>469</v>
      </c>
      <c r="S11" s="14" t="s">
        <v>174</v>
      </c>
    </row>
    <row r="12" customFormat="false" ht="15" hidden="false" customHeight="true" outlineLevel="0" collapsed="false">
      <c r="B12" s="12" t="s">
        <v>165</v>
      </c>
      <c r="C12" s="12" t="s">
        <v>470</v>
      </c>
      <c r="D12" s="12" t="s">
        <v>460</v>
      </c>
      <c r="E12" s="12" t="s">
        <v>447</v>
      </c>
      <c r="F12" s="12" t="s">
        <v>471</v>
      </c>
      <c r="I12" s="12" t="s">
        <v>178</v>
      </c>
      <c r="M12" s="12" t="s">
        <v>96</v>
      </c>
      <c r="O12" s="12" t="s">
        <v>472</v>
      </c>
      <c r="S12" s="12" t="s">
        <v>473</v>
      </c>
    </row>
    <row r="13" customFormat="false" ht="23.25" hidden="false" customHeight="true" outlineLevel="0" collapsed="false">
      <c r="B13" s="14" t="s">
        <v>411</v>
      </c>
      <c r="C13" s="14" t="s">
        <v>474</v>
      </c>
      <c r="D13" s="14" t="s">
        <v>460</v>
      </c>
      <c r="E13" s="14" t="s">
        <v>447</v>
      </c>
      <c r="F13" s="14" t="s">
        <v>475</v>
      </c>
      <c r="M13" s="14" t="s">
        <v>146</v>
      </c>
      <c r="S13" s="14" t="s">
        <v>476</v>
      </c>
    </row>
    <row r="14" customFormat="false" ht="23.25" hidden="false" customHeight="true" outlineLevel="0" collapsed="false">
      <c r="B14" s="12" t="s">
        <v>151</v>
      </c>
      <c r="C14" s="12" t="s">
        <v>477</v>
      </c>
      <c r="D14" s="12" t="s">
        <v>478</v>
      </c>
      <c r="E14" s="12" t="s">
        <v>447</v>
      </c>
      <c r="F14" s="12" t="s">
        <v>479</v>
      </c>
      <c r="S14" s="12" t="s">
        <v>480</v>
      </c>
    </row>
    <row r="15" customFormat="false" ht="15" hidden="false" customHeight="true" outlineLevel="0" collapsed="false">
      <c r="B15" s="14" t="s">
        <v>392</v>
      </c>
      <c r="C15" s="14" t="s">
        <v>481</v>
      </c>
      <c r="D15" s="14" t="s">
        <v>478</v>
      </c>
      <c r="E15" s="14" t="s">
        <v>447</v>
      </c>
      <c r="F15" s="14" t="s">
        <v>482</v>
      </c>
    </row>
    <row r="20" customFormat="false" ht="15" hidden="false" customHeight="true" outlineLevel="0" collapsed="false">
      <c r="B20" s="8" t="s">
        <v>483</v>
      </c>
    </row>
    <row r="21" customFormat="false" ht="15" hidden="false" customHeight="true" outlineLevel="0" collapsed="false">
      <c r="B21" s="10" t="s">
        <v>484</v>
      </c>
      <c r="C21" s="10" t="s">
        <v>444</v>
      </c>
    </row>
    <row r="22" customFormat="false" ht="15" hidden="false" customHeight="true" outlineLevel="0" collapsed="false">
      <c r="B22" s="14" t="s">
        <v>485</v>
      </c>
      <c r="C22" s="14" t="n">
        <v>2026</v>
      </c>
    </row>
    <row r="23" customFormat="false" ht="15" hidden="false" customHeight="true" outlineLevel="0" collapsed="false">
      <c r="B23" s="12" t="s">
        <v>486</v>
      </c>
      <c r="C23" s="48" t="n">
        <v>46023</v>
      </c>
    </row>
    <row r="24" customFormat="false" ht="23.25" hidden="false" customHeight="true" outlineLevel="0" collapsed="false">
      <c r="B24" s="14" t="s">
        <v>487</v>
      </c>
      <c r="C24" s="14" t="n">
        <v>1000000</v>
      </c>
    </row>
    <row r="25" customFormat="false" ht="15" hidden="false" customHeight="true" outlineLevel="0" collapsed="false">
      <c r="B25" s="12" t="s">
        <v>488</v>
      </c>
      <c r="C25" s="12" t="n">
        <v>325</v>
      </c>
    </row>
    <row r="26" customFormat="false" ht="23.25" hidden="false" customHeight="true" outlineLevel="0" collapsed="false">
      <c r="B26" s="14" t="s">
        <v>489</v>
      </c>
      <c r="C26" s="14" t="n">
        <v>8</v>
      </c>
    </row>
    <row r="27" customFormat="false" ht="23.25" hidden="false" customHeight="true" outlineLevel="0" collapsed="false">
      <c r="B27" s="12" t="s">
        <v>490</v>
      </c>
      <c r="C27" s="12" t="n">
        <v>0.7</v>
      </c>
    </row>
    <row r="28" customFormat="false" ht="23.25" hidden="false" customHeight="true" outlineLevel="0" collapsed="false">
      <c r="B28" s="14" t="s">
        <v>491</v>
      </c>
      <c r="C28" s="14" t="n">
        <v>0.4</v>
      </c>
    </row>
    <row r="29" customFormat="false" ht="23.25" hidden="false" customHeight="true" outlineLevel="0" collapsed="false">
      <c r="B29" s="12" t="s">
        <v>492</v>
      </c>
      <c r="C29" s="12" t="n">
        <v>0</v>
      </c>
    </row>
    <row r="30" customFormat="false" ht="23.25" hidden="false" customHeight="true" outlineLevel="0" collapsed="false">
      <c r="B30" s="14" t="s">
        <v>493</v>
      </c>
      <c r="C30" s="14" t="n">
        <v>-14</v>
      </c>
    </row>
    <row r="40" customFormat="false" ht="15" hidden="false" customHeight="true" outlineLevel="0" collapsed="false">
      <c r="B40" s="4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7BEF10ACAF3448AABDA8BA3EEB9358" ma:contentTypeVersion="10" ma:contentTypeDescription="Crear nuevo documento." ma:contentTypeScope="" ma:versionID="11aae69a427f4e24e31ca4fede1dde87">
  <xsd:schema xmlns:xsd="http://www.w3.org/2001/XMLSchema" xmlns:xs="http://www.w3.org/2001/XMLSchema" xmlns:p="http://schemas.microsoft.com/office/2006/metadata/properties" xmlns:ns2="0a6b8476-3d67-42ca-8ee9-97d980ff180f" xmlns:ns3="997c382a-855d-4bf1-9094-e4fb729baf04" targetNamespace="http://schemas.microsoft.com/office/2006/metadata/properties" ma:root="true" ma:fieldsID="56757fc1d6d7c0779314956d3a482fc5" ns2:_="" ns3:_="">
    <xsd:import namespace="0a6b8476-3d67-42ca-8ee9-97d980ff180f"/>
    <xsd:import namespace="997c382a-855d-4bf1-9094-e4fb729baf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b8476-3d67-42ca-8ee9-97d980ff18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c382a-855d-4bf1-9094-e4fb729baf0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C6B270-A09C-4FC7-8C8A-5AFCDF49B2BC}"/>
</file>

<file path=customXml/itemProps2.xml><?xml version="1.0" encoding="utf-8"?>
<ds:datastoreItem xmlns:ds="http://schemas.openxmlformats.org/officeDocument/2006/customXml" ds:itemID="{668F139A-67BB-4C8B-83DB-1B37BF50163D}"/>
</file>

<file path=customXml/itemProps3.xml><?xml version="1.0" encoding="utf-8"?>
<ds:datastoreItem xmlns:ds="http://schemas.openxmlformats.org/officeDocument/2006/customXml" ds:itemID="{2214D1FA-FBCE-430C-BF96-BA359DD31D9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2026-05-11T16:41:53Z</dcterms:created>
  <dcterms:modified xsi:type="dcterms:W3CDTF">2026-05-11T17:09:41Z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0x010100827BEF10ACAF3448AABDA8BA3EEB9358</vt:lpwstr>
  </property>
</Properties>
</file>